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https://transcend090-my.sharepoint.com/personal/chengetai_myezwa_transcend_co_za/Documents/Documents/Templates/"/>
    </mc:Choice>
  </mc:AlternateContent>
  <xr:revisionPtr revIDLastSave="33" documentId="8_{2828395F-3D0F-47DB-982C-C70B59A43FD3}" xr6:coauthVersionLast="47" xr6:coauthVersionMax="47" xr10:uidLastSave="{03F4A877-7138-4D73-B689-143F3A3F1034}"/>
  <bookViews>
    <workbookView minimized="1" showHorizontalScroll="0" showVerticalScroll="0" xWindow="20190" yWindow="0" windowWidth="27870" windowHeight="14325" activeTab="2" xr2:uid="{00000000-000D-0000-FFFF-FFFF00000000}"/>
  </bookViews>
  <sheets>
    <sheet name="Reporting" sheetId="4" r:id="rId1"/>
    <sheet name="Task list" sheetId="5" r:id="rId2"/>
    <sheet name="Project Tracker " sheetId="1" r:id="rId3"/>
    <sheet name="Project Budget" sheetId="3" r:id="rId4"/>
  </sheets>
  <externalReferences>
    <externalReference r:id="rId5"/>
  </externalReferences>
  <definedNames>
    <definedName name="Status_List">[1]Reports!$AB$115:$AB$118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5" l="1"/>
  <c r="C8" i="5"/>
  <c r="E11" i="5"/>
  <c r="E505" i="5" l="1"/>
  <c r="E504" i="5"/>
  <c r="E503" i="5"/>
  <c r="E502" i="5"/>
  <c r="E501" i="5"/>
  <c r="E500" i="5"/>
  <c r="E499" i="5"/>
  <c r="E498" i="5"/>
  <c r="E497" i="5"/>
  <c r="E496" i="5"/>
  <c r="E495" i="5"/>
  <c r="E494" i="5"/>
  <c r="E493" i="5"/>
  <c r="E492" i="5"/>
  <c r="E491" i="5"/>
  <c r="E490" i="5"/>
  <c r="E489" i="5"/>
  <c r="E488" i="5"/>
  <c r="E487" i="5"/>
  <c r="E486" i="5"/>
  <c r="E485" i="5"/>
  <c r="E484" i="5"/>
  <c r="E483" i="5"/>
  <c r="E482" i="5"/>
  <c r="E481" i="5"/>
  <c r="E480" i="5"/>
  <c r="E479" i="5"/>
  <c r="E478" i="5"/>
  <c r="E477" i="5"/>
  <c r="E476" i="5"/>
  <c r="E475" i="5"/>
  <c r="E474" i="5"/>
  <c r="E473" i="5"/>
  <c r="E472" i="5"/>
  <c r="E471" i="5"/>
  <c r="E470" i="5"/>
  <c r="E469" i="5"/>
  <c r="E468" i="5"/>
  <c r="E467" i="5"/>
  <c r="E466" i="5"/>
  <c r="E465" i="5"/>
  <c r="E464" i="5"/>
  <c r="E463" i="5"/>
  <c r="E462" i="5"/>
  <c r="E461" i="5"/>
  <c r="E460" i="5"/>
  <c r="E459" i="5"/>
  <c r="E458" i="5"/>
  <c r="E457" i="5"/>
  <c r="E456" i="5"/>
  <c r="E455" i="5"/>
  <c r="E454" i="5"/>
  <c r="E453" i="5"/>
  <c r="E452" i="5"/>
  <c r="E451" i="5"/>
  <c r="E450" i="5"/>
  <c r="E449" i="5"/>
  <c r="E448" i="5"/>
  <c r="E447" i="5"/>
  <c r="E446" i="5"/>
  <c r="E445" i="5"/>
  <c r="E444" i="5"/>
  <c r="E443" i="5"/>
  <c r="E442" i="5"/>
  <c r="E441" i="5"/>
  <c r="E440" i="5"/>
  <c r="E439" i="5"/>
  <c r="E438" i="5"/>
  <c r="E437" i="5"/>
  <c r="E436" i="5"/>
  <c r="E435" i="5"/>
  <c r="E434" i="5"/>
  <c r="E433" i="5"/>
  <c r="E432" i="5"/>
  <c r="E431" i="5"/>
  <c r="E430" i="5"/>
  <c r="E429" i="5"/>
  <c r="E428" i="5"/>
  <c r="E427" i="5"/>
  <c r="E426" i="5"/>
  <c r="E425" i="5"/>
  <c r="E424" i="5"/>
  <c r="E423" i="5"/>
  <c r="E422" i="5"/>
  <c r="E421" i="5"/>
  <c r="E420" i="5"/>
  <c r="E419" i="5"/>
  <c r="E418" i="5"/>
  <c r="E417" i="5"/>
  <c r="E416" i="5"/>
  <c r="E415" i="5"/>
  <c r="E414" i="5"/>
  <c r="E413" i="5"/>
  <c r="E412" i="5"/>
  <c r="E411" i="5"/>
  <c r="E410" i="5"/>
  <c r="E409" i="5"/>
  <c r="E408" i="5"/>
  <c r="E407" i="5"/>
  <c r="E406" i="5"/>
  <c r="E405" i="5"/>
  <c r="E404" i="5"/>
  <c r="E403" i="5"/>
  <c r="E402" i="5"/>
  <c r="E401" i="5"/>
  <c r="E400" i="5"/>
  <c r="E399" i="5"/>
  <c r="E398" i="5"/>
  <c r="E397" i="5"/>
  <c r="E396" i="5"/>
  <c r="E395" i="5"/>
  <c r="E394" i="5"/>
  <c r="E393" i="5"/>
  <c r="E392" i="5"/>
  <c r="E391" i="5"/>
  <c r="E390" i="5"/>
  <c r="E389" i="5"/>
  <c r="E388" i="5"/>
  <c r="E387" i="5"/>
  <c r="E386" i="5"/>
  <c r="E385" i="5"/>
  <c r="E384" i="5"/>
  <c r="E383" i="5"/>
  <c r="E382" i="5"/>
  <c r="E381" i="5"/>
  <c r="E380" i="5"/>
  <c r="E379" i="5"/>
  <c r="E378" i="5"/>
  <c r="E377" i="5"/>
  <c r="E376" i="5"/>
  <c r="E375" i="5"/>
  <c r="E374" i="5"/>
  <c r="E373" i="5"/>
  <c r="E372" i="5"/>
  <c r="E371" i="5"/>
  <c r="E370" i="5"/>
  <c r="E369" i="5"/>
  <c r="E368" i="5"/>
  <c r="E367" i="5"/>
  <c r="E366" i="5"/>
  <c r="E365" i="5"/>
  <c r="E364" i="5"/>
  <c r="E363" i="5"/>
  <c r="E362" i="5"/>
  <c r="E361" i="5"/>
  <c r="E360" i="5"/>
  <c r="E359" i="5"/>
  <c r="E358" i="5"/>
  <c r="E357" i="5"/>
  <c r="E356" i="5"/>
  <c r="E355" i="5"/>
  <c r="E354" i="5"/>
  <c r="E353" i="5"/>
  <c r="E352" i="5"/>
  <c r="E351" i="5"/>
  <c r="E350" i="5"/>
  <c r="E349" i="5"/>
  <c r="E348" i="5"/>
  <c r="E347" i="5"/>
  <c r="E346" i="5"/>
  <c r="E345" i="5"/>
  <c r="E344" i="5"/>
  <c r="E343" i="5"/>
  <c r="E342" i="5"/>
  <c r="E341" i="5"/>
  <c r="E340" i="5"/>
  <c r="E339" i="5"/>
  <c r="E338" i="5"/>
  <c r="E337" i="5"/>
  <c r="E336" i="5"/>
  <c r="E335" i="5"/>
  <c r="E334" i="5"/>
  <c r="E333" i="5"/>
  <c r="E332" i="5"/>
  <c r="E331" i="5"/>
  <c r="E330" i="5"/>
  <c r="E329" i="5"/>
  <c r="E328" i="5"/>
  <c r="E327" i="5"/>
  <c r="E326" i="5"/>
  <c r="E325" i="5"/>
  <c r="E324" i="5"/>
  <c r="E323" i="5"/>
  <c r="E322" i="5"/>
  <c r="E321" i="5"/>
  <c r="E320" i="5"/>
  <c r="E319" i="5"/>
  <c r="E318" i="5"/>
  <c r="E317" i="5"/>
  <c r="E316" i="5"/>
  <c r="E315" i="5"/>
  <c r="E314" i="5"/>
  <c r="E313" i="5"/>
  <c r="E312" i="5"/>
  <c r="E311" i="5"/>
  <c r="E310" i="5"/>
  <c r="E309" i="5"/>
  <c r="E308" i="5"/>
  <c r="E307" i="5"/>
  <c r="E306" i="5"/>
  <c r="E305" i="5"/>
  <c r="E304" i="5"/>
  <c r="E303" i="5"/>
  <c r="E302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E261" i="5"/>
  <c r="E260" i="5"/>
  <c r="E259" i="5"/>
  <c r="E258" i="5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5" i="5"/>
  <c r="E34" i="5"/>
  <c r="E33" i="5"/>
  <c r="E32" i="5"/>
  <c r="E31" i="5"/>
  <c r="E30" i="5"/>
  <c r="E28" i="5"/>
  <c r="E27" i="5"/>
  <c r="E26" i="5"/>
  <c r="E25" i="5"/>
  <c r="E24" i="5"/>
  <c r="E22" i="5"/>
  <c r="E21" i="5"/>
  <c r="E20" i="5"/>
  <c r="E19" i="5"/>
  <c r="E18" i="5"/>
  <c r="E17" i="5"/>
  <c r="E16" i="5"/>
  <c r="E15" i="5"/>
  <c r="E14" i="5"/>
  <c r="E13" i="5"/>
  <c r="E12" i="5"/>
  <c r="D6" i="5"/>
  <c r="F4" i="5"/>
  <c r="E4" i="5"/>
  <c r="D4" i="5"/>
  <c r="C4" i="5"/>
  <c r="L19" i="3"/>
  <c r="K19" i="3"/>
  <c r="I19" i="3"/>
  <c r="H19" i="3"/>
  <c r="F19" i="3"/>
  <c r="N19" i="3" s="1"/>
  <c r="N18" i="3"/>
  <c r="M18" i="3"/>
  <c r="O18" i="3" s="1"/>
  <c r="N17" i="3"/>
  <c r="M17" i="3"/>
  <c r="O17" i="3" s="1"/>
  <c r="N16" i="3"/>
  <c r="M16" i="3"/>
  <c r="O16" i="3" s="1"/>
  <c r="N15" i="3"/>
  <c r="M15" i="3"/>
  <c r="O15" i="3" s="1"/>
  <c r="N14" i="3"/>
  <c r="M14" i="3"/>
  <c r="O14" i="3" s="1"/>
  <c r="N13" i="3"/>
  <c r="M13" i="3"/>
  <c r="M19" i="3" s="1"/>
  <c r="O19" i="3" s="1"/>
  <c r="N12" i="3"/>
  <c r="N9" i="3" s="1"/>
  <c r="O11" i="3"/>
  <c r="N11" i="3"/>
  <c r="N10" i="3"/>
  <c r="O10" i="3" s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M9" i="3" l="1"/>
  <c r="O9" i="3" s="1"/>
  <c r="O12" i="3"/>
  <c r="O13" i="3"/>
</calcChain>
</file>

<file path=xl/sharedStrings.xml><?xml version="1.0" encoding="utf-8"?>
<sst xmlns="http://schemas.openxmlformats.org/spreadsheetml/2006/main" count="98" uniqueCount="77">
  <si>
    <t>Gantt Chart Template</t>
  </si>
  <si>
    <t>Project Name:</t>
  </si>
  <si>
    <t>Task Name</t>
  </si>
  <si>
    <t>Start  (Date)</t>
  </si>
  <si>
    <t>End  (Date)</t>
  </si>
  <si>
    <t>Duration (Days)</t>
  </si>
  <si>
    <t>Sample Task 2</t>
  </si>
  <si>
    <t>Sample Task 3</t>
  </si>
  <si>
    <t>Sample Task 4</t>
  </si>
  <si>
    <t>Sample Task 5</t>
  </si>
  <si>
    <t>Sample Task 6</t>
  </si>
  <si>
    <t>Sample Task 7</t>
  </si>
  <si>
    <t>Sample Task 8</t>
  </si>
  <si>
    <t>Sample Task 9</t>
  </si>
  <si>
    <t>Sample Task 10</t>
  </si>
  <si>
    <t>Sample Task 11</t>
  </si>
  <si>
    <t>Sample Task 12</t>
  </si>
  <si>
    <t>Sample Task 13</t>
  </si>
  <si>
    <t>Sample Task 14</t>
  </si>
  <si>
    <t>Sample Task 15</t>
  </si>
  <si>
    <t>Sample Task 1</t>
  </si>
  <si>
    <t>Project Budget Template</t>
  </si>
  <si>
    <t>Alpha Omega</t>
  </si>
  <si>
    <t>Department:</t>
  </si>
  <si>
    <t>Marketing</t>
  </si>
  <si>
    <t>Supervisor Name:</t>
  </si>
  <si>
    <t>Oliver Jones</t>
  </si>
  <si>
    <t>Labor</t>
  </si>
  <si>
    <t>Materials</t>
  </si>
  <si>
    <t>Fixed</t>
  </si>
  <si>
    <t>BALANCE</t>
  </si>
  <si>
    <t>Planned Hours</t>
  </si>
  <si>
    <t>Actual Hours</t>
  </si>
  <si>
    <t>$/HR</t>
  </si>
  <si>
    <t>UNITS</t>
  </si>
  <si>
    <t>$/UNITS</t>
  </si>
  <si>
    <t>Travel</t>
  </si>
  <si>
    <t>Equipment</t>
  </si>
  <si>
    <t>Misc.</t>
  </si>
  <si>
    <t>BUDGETED</t>
  </si>
  <si>
    <t>ACTUAL</t>
  </si>
  <si>
    <r>
      <rPr>
        <b/>
        <sz val="12"/>
        <color rgb="FF008000"/>
        <rFont val="Calibri"/>
        <family val="2"/>
        <scheme val="minor"/>
      </rPr>
      <t>UNDER</t>
    </r>
    <r>
      <rPr>
        <b/>
        <sz val="12"/>
        <rFont val="Calibri"/>
        <family val="2"/>
        <scheme val="minor"/>
      </rPr>
      <t>/</t>
    </r>
    <r>
      <rPr>
        <b/>
        <sz val="12"/>
        <color theme="5"/>
        <rFont val="Calibri"/>
        <family val="2"/>
        <scheme val="minor"/>
      </rPr>
      <t>OVER</t>
    </r>
  </si>
  <si>
    <t>WBS</t>
  </si>
  <si>
    <t>Project Tasks</t>
  </si>
  <si>
    <t>Assigned To:</t>
  </si>
  <si>
    <t>Task</t>
  </si>
  <si>
    <t>Dave Johnson</t>
  </si>
  <si>
    <t>Sarah Goldman</t>
  </si>
  <si>
    <t>Melissa Shaw</t>
  </si>
  <si>
    <t xml:space="preserve">       SubTask </t>
  </si>
  <si>
    <t>SUBTOTAL</t>
  </si>
  <si>
    <t>Project Name</t>
  </si>
  <si>
    <t>&lt;insert project name here&gt;</t>
  </si>
  <si>
    <t>Current Task Statuses</t>
  </si>
  <si>
    <t>Not Started</t>
  </si>
  <si>
    <t>In Progress</t>
  </si>
  <si>
    <t>Complete</t>
  </si>
  <si>
    <t>Overdue</t>
  </si>
  <si>
    <t>Budget</t>
  </si>
  <si>
    <t>Planned</t>
  </si>
  <si>
    <t>Actual</t>
  </si>
  <si>
    <t>Tasks</t>
  </si>
  <si>
    <t>Assigned To</t>
  </si>
  <si>
    <t>Start</t>
  </si>
  <si>
    <t>End</t>
  </si>
  <si>
    <t>Days</t>
  </si>
  <si>
    <t>Status</t>
  </si>
  <si>
    <t>Planned Cost</t>
  </si>
  <si>
    <t>Actual Cost</t>
  </si>
  <si>
    <t>Notes</t>
  </si>
  <si>
    <t>Not started</t>
  </si>
  <si>
    <t xml:space="preserve">Preferential Procurement </t>
  </si>
  <si>
    <t/>
  </si>
  <si>
    <t xml:space="preserve">Skills Development </t>
  </si>
  <si>
    <t xml:space="preserve">Compile a compile a comprehensive list of suppliers </t>
  </si>
  <si>
    <t xml:space="preserve">Develop a new procurement capturing system </t>
  </si>
  <si>
    <t xml:space="preserve">Management Control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</si>
</sst>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&quot;* #,##0.00_-;\-&quot;R&quot;* #,##0.00_-;_-&quot;R&quot;* &quot;-&quot;??_-;_-@_-"/>
    <numFmt numFmtId="165" formatCode="&quot;$&quot;#,##0.00_);[Red]\(&quot;$&quot;#,##0.00\)"/>
    <numFmt numFmtId="166" formatCode="#,##0.0"/>
    <numFmt numFmtId="167" formatCode="_(&quot;$&quot;* #,##0.00_);_(&quot;$&quot;* \(#,##0.00\);_(&quot;$&quot;* &quot;-&quot;??_);_(@_)"/>
    <numFmt numFmtId="168" formatCode="0.0"/>
    <numFmt numFmtId="169" formatCode="&quot;$&quot;#,##0.00_);\(&quot;$&quot;#,##0.00\)"/>
    <numFmt numFmtId="170" formatCode="_(* #,##0.00_);_(* \(#,##0.00\);_(* &quot;-&quot;??_);_(@_)"/>
    <numFmt numFmtId="171" formatCode="_([$$-409]* #,##0.00_);_([$$-409]* \(#,##0.00\);_([$$-409]* &quot;-&quot;??_);_(@_)"/>
    <numFmt numFmtId="172" formatCode="m/d;@"/>
  </numFmts>
  <fonts count="29">
    <font>
      <sz val="11"/>
      <color theme="1"/>
      <name val="Calibri"/>
      <family val="2"/>
      <scheme val="minor"/>
    </font>
    <font>
      <b/>
      <sz val="18"/>
      <color theme="3"/>
      <name val="Calibri"/>
      <family val="2"/>
      <scheme val="minor"/>
    </font>
    <font>
      <sz val="16"/>
      <color theme="3" tint="0.39997558519241921"/>
      <name val="Calibri"/>
      <family val="2"/>
      <scheme val="minor"/>
    </font>
    <font>
      <sz val="12"/>
      <color theme="3" tint="0.399975585192419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Trebuchet MS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8000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i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indexed="48"/>
      <name val="Calibri"/>
      <family val="2"/>
    </font>
    <font>
      <b/>
      <sz val="12"/>
      <color theme="1"/>
      <name val="Calibri"/>
      <family val="2"/>
      <charset val="134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44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167" fontId="11" fillId="0" borderId="0" applyFont="0" applyFill="0" applyBorder="0" applyAlignment="0" applyProtection="0"/>
  </cellStyleXfs>
  <cellXfs count="119">
    <xf numFmtId="0" fontId="0" fillId="0" borderId="0" xfId="0"/>
    <xf numFmtId="0" fontId="0" fillId="0" borderId="0" xfId="0" applyProtection="1">
      <protection locked="0"/>
    </xf>
    <xf numFmtId="0" fontId="2" fillId="2" borderId="0" xfId="0" applyFont="1" applyFill="1" applyBorder="1" applyProtection="1">
      <protection locked="0"/>
    </xf>
    <xf numFmtId="0" fontId="3" fillId="2" borderId="0" xfId="0" applyFont="1" applyFill="1" applyBorder="1" applyAlignment="1" applyProtection="1">
      <alignment horizontal="left" vertical="top"/>
      <protection locked="0"/>
    </xf>
    <xf numFmtId="0" fontId="3" fillId="2" borderId="0" xfId="0" applyFont="1" applyFill="1" applyProtection="1">
      <protection locked="0"/>
    </xf>
    <xf numFmtId="0" fontId="0" fillId="0" borderId="1" xfId="0" applyBorder="1" applyProtection="1">
      <protection locked="0"/>
    </xf>
    <xf numFmtId="0" fontId="4" fillId="0" borderId="0" xfId="0" applyFont="1" applyAlignment="1" applyProtection="1">
      <alignment horizontal="center" wrapText="1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Protection="1">
      <protection locked="0"/>
    </xf>
    <xf numFmtId="14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</xf>
    <xf numFmtId="0" fontId="6" fillId="0" borderId="0" xfId="1" applyProtection="1">
      <protection locked="0"/>
    </xf>
    <xf numFmtId="0" fontId="1" fillId="2" borderId="0" xfId="0" applyFont="1" applyFill="1" applyAlignment="1" applyProtection="1">
      <alignment horizontal="left" vertical="center"/>
    </xf>
    <xf numFmtId="0" fontId="7" fillId="2" borderId="0" xfId="1" applyFont="1" applyFill="1" applyAlignment="1" applyProtection="1">
      <alignment horizontal="center"/>
      <protection locked="0"/>
    </xf>
    <xf numFmtId="0" fontId="9" fillId="2" borderId="0" xfId="0" applyFont="1" applyFill="1" applyAlignment="1">
      <alignment horizontal="left" vertical="center"/>
    </xf>
    <xf numFmtId="0" fontId="0" fillId="2" borderId="0" xfId="0" applyFill="1"/>
    <xf numFmtId="0" fontId="10" fillId="3" borderId="2" xfId="0" applyFont="1" applyFill="1" applyBorder="1" applyAlignment="1">
      <alignment horizontal="right"/>
    </xf>
    <xf numFmtId="0" fontId="11" fillId="3" borderId="2" xfId="0" applyFont="1" applyFill="1" applyBorder="1" applyAlignment="1">
      <alignment horizontal="left"/>
    </xf>
    <xf numFmtId="0" fontId="10" fillId="0" borderId="2" xfId="0" applyFont="1" applyBorder="1" applyAlignment="1">
      <alignment horizontal="right"/>
    </xf>
    <xf numFmtId="0" fontId="11" fillId="0" borderId="2" xfId="0" applyFont="1" applyBorder="1" applyAlignment="1">
      <alignment horizontal="left"/>
    </xf>
    <xf numFmtId="0" fontId="6" fillId="2" borderId="0" xfId="1" applyFill="1"/>
    <xf numFmtId="0" fontId="10" fillId="0" borderId="0" xfId="0" applyFont="1"/>
    <xf numFmtId="165" fontId="11" fillId="0" borderId="0" xfId="0" applyNumberFormat="1" applyFont="1"/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12" fillId="0" borderId="0" xfId="0" applyFont="1" applyAlignment="1">
      <alignment horizontal="center"/>
    </xf>
    <xf numFmtId="0" fontId="12" fillId="4" borderId="0" xfId="0" applyFont="1" applyFill="1" applyAlignment="1">
      <alignment horizontal="centerContinuous"/>
    </xf>
    <xf numFmtId="0" fontId="12" fillId="4" borderId="0" xfId="0" applyFont="1" applyFill="1" applyAlignment="1">
      <alignment horizontal="left"/>
    </xf>
    <xf numFmtId="0" fontId="0" fillId="4" borderId="0" xfId="0" applyFill="1" applyAlignment="1">
      <alignment horizontal="centerContinuous"/>
    </xf>
    <xf numFmtId="0" fontId="12" fillId="5" borderId="0" xfId="0" applyFont="1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13" fillId="6" borderId="0" xfId="0" applyFont="1" applyFill="1" applyAlignment="1">
      <alignment horizontal="center"/>
    </xf>
    <xf numFmtId="0" fontId="14" fillId="6" borderId="0" xfId="0" applyFont="1" applyFill="1" applyAlignment="1">
      <alignment horizontal="center" wrapText="1"/>
    </xf>
    <xf numFmtId="0" fontId="12" fillId="6" borderId="0" xfId="0" applyFont="1" applyFill="1" applyAlignment="1">
      <alignment horizontal="center"/>
    </xf>
    <xf numFmtId="4" fontId="12" fillId="3" borderId="0" xfId="0" applyNumberFormat="1" applyFont="1" applyFill="1" applyAlignment="1" applyProtection="1">
      <alignment horizontal="center"/>
      <protection locked="0"/>
    </xf>
    <xf numFmtId="0" fontId="14" fillId="0" borderId="1" xfId="0" applyFont="1" applyBorder="1" applyAlignment="1">
      <alignment horizontal="left"/>
    </xf>
    <xf numFmtId="0" fontId="14" fillId="0" borderId="1" xfId="0" applyFont="1" applyBorder="1" applyAlignment="1">
      <alignment horizontal="center" wrapText="1"/>
    </xf>
    <xf numFmtId="0" fontId="14" fillId="4" borderId="0" xfId="0" applyFont="1" applyFill="1" applyAlignment="1">
      <alignment horizontal="center" wrapText="1"/>
    </xf>
    <xf numFmtId="0" fontId="14" fillId="5" borderId="0" xfId="0" applyFont="1" applyFill="1" applyAlignment="1">
      <alignment horizontal="center" wrapText="1"/>
    </xf>
    <xf numFmtId="0" fontId="14" fillId="6" borderId="1" xfId="0" applyFont="1" applyFill="1" applyBorder="1" applyAlignment="1">
      <alignment horizontal="center" wrapText="1"/>
    </xf>
    <xf numFmtId="0" fontId="14" fillId="6" borderId="1" xfId="0" applyFont="1" applyFill="1" applyBorder="1" applyAlignment="1">
      <alignment horizontal="center" wrapText="1"/>
    </xf>
    <xf numFmtId="0" fontId="13" fillId="6" borderId="1" xfId="0" applyFont="1" applyFill="1" applyBorder="1" applyAlignment="1">
      <alignment horizontal="center"/>
    </xf>
    <xf numFmtId="0" fontId="13" fillId="3" borderId="0" xfId="0" applyFont="1" applyFill="1" applyAlignment="1">
      <alignment horizontal="center"/>
    </xf>
    <xf numFmtId="0" fontId="17" fillId="7" borderId="3" xfId="0" applyFont="1" applyFill="1" applyBorder="1" applyAlignment="1" applyProtection="1">
      <alignment horizontal="center" wrapText="1"/>
      <protection locked="0"/>
    </xf>
    <xf numFmtId="166" fontId="17" fillId="7" borderId="3" xfId="0" applyNumberFormat="1" applyFont="1" applyFill="1" applyBorder="1" applyAlignment="1" applyProtection="1">
      <alignment horizontal="center"/>
      <protection locked="0"/>
    </xf>
    <xf numFmtId="166" fontId="18" fillId="7" borderId="3" xfId="0" applyNumberFormat="1" applyFont="1" applyFill="1" applyBorder="1" applyAlignment="1" applyProtection="1">
      <alignment horizontal="left" vertical="center"/>
      <protection locked="0"/>
    </xf>
    <xf numFmtId="167" fontId="18" fillId="7" borderId="3" xfId="3" applyFont="1" applyFill="1" applyBorder="1" applyAlignment="1" applyProtection="1">
      <alignment horizontal="left" vertical="center"/>
      <protection locked="0"/>
    </xf>
    <xf numFmtId="167" fontId="19" fillId="7" borderId="3" xfId="3" applyFont="1" applyFill="1" applyBorder="1" applyAlignment="1" applyProtection="1">
      <alignment horizontal="left" vertical="center"/>
    </xf>
    <xf numFmtId="168" fontId="0" fillId="0" borderId="0" xfId="0" applyNumberFormat="1" applyAlignment="1">
      <alignment horizontal="center"/>
    </xf>
    <xf numFmtId="0" fontId="10" fillId="0" borderId="4" xfId="0" applyFont="1" applyBorder="1" applyAlignment="1" applyProtection="1">
      <alignment vertical="top" wrapText="1"/>
      <protection locked="0"/>
    </xf>
    <xf numFmtId="0" fontId="11" fillId="0" borderId="4" xfId="0" applyFont="1" applyBorder="1" applyAlignment="1" applyProtection="1">
      <alignment vertical="top" wrapText="1"/>
      <protection locked="0"/>
    </xf>
    <xf numFmtId="168" fontId="20" fillId="0" borderId="4" xfId="0" applyNumberFormat="1" applyFont="1" applyBorder="1" applyAlignment="1" applyProtection="1">
      <alignment wrapText="1"/>
      <protection locked="0"/>
    </xf>
    <xf numFmtId="169" fontId="20" fillId="0" borderId="4" xfId="3" applyNumberFormat="1" applyFont="1" applyFill="1" applyBorder="1" applyAlignment="1" applyProtection="1">
      <alignment wrapText="1"/>
      <protection locked="0"/>
    </xf>
    <xf numFmtId="170" fontId="20" fillId="8" borderId="4" xfId="3" applyNumberFormat="1" applyFont="1" applyFill="1" applyBorder="1" applyProtection="1"/>
    <xf numFmtId="170" fontId="20" fillId="0" borderId="4" xfId="3" applyNumberFormat="1" applyFont="1" applyFill="1" applyBorder="1" applyAlignment="1" applyProtection="1">
      <alignment wrapText="1"/>
      <protection locked="0"/>
    </xf>
    <xf numFmtId="170" fontId="20" fillId="9" borderId="4" xfId="3" applyNumberFormat="1" applyFont="1" applyFill="1" applyBorder="1" applyAlignment="1" applyProtection="1">
      <alignment horizontal="right"/>
    </xf>
    <xf numFmtId="170" fontId="20" fillId="8" borderId="4" xfId="3" applyNumberFormat="1" applyFont="1" applyFill="1" applyBorder="1" applyAlignment="1" applyProtection="1">
      <alignment horizontal="right"/>
    </xf>
    <xf numFmtId="0" fontId="10" fillId="0" borderId="4" xfId="0" applyFont="1" applyBorder="1" applyAlignment="1" applyProtection="1">
      <alignment horizontal="left" vertical="top" wrapText="1"/>
      <protection locked="0"/>
    </xf>
    <xf numFmtId="0" fontId="21" fillId="0" borderId="4" xfId="0" applyFont="1" applyBorder="1" applyAlignment="1" applyProtection="1">
      <alignment vertical="top" wrapText="1"/>
      <protection locked="0"/>
    </xf>
    <xf numFmtId="0" fontId="21" fillId="0" borderId="4" xfId="0" applyFont="1" applyBorder="1" applyAlignment="1" applyProtection="1">
      <alignment horizontal="left" vertical="top" wrapText="1"/>
      <protection locked="0"/>
    </xf>
    <xf numFmtId="168" fontId="20" fillId="0" borderId="4" xfId="0" applyNumberFormat="1" applyFont="1" applyBorder="1" applyAlignment="1" applyProtection="1">
      <alignment horizontal="left" wrapText="1" indent="1"/>
      <protection locked="0"/>
    </xf>
    <xf numFmtId="168" fontId="20" fillId="0" borderId="4" xfId="0" applyNumberFormat="1" applyFont="1" applyBorder="1" applyAlignment="1" applyProtection="1">
      <alignment horizontal="left" wrapText="1" indent="2"/>
      <protection locked="0"/>
    </xf>
    <xf numFmtId="0" fontId="0" fillId="10" borderId="0" xfId="0" applyFill="1"/>
    <xf numFmtId="0" fontId="22" fillId="10" borderId="4" xfId="0" applyFont="1" applyFill="1" applyBorder="1" applyAlignment="1">
      <alignment horizontal="center"/>
    </xf>
    <xf numFmtId="0" fontId="22" fillId="10" borderId="4" xfId="0" applyFont="1" applyFill="1" applyBorder="1" applyAlignment="1">
      <alignment horizontal="center"/>
    </xf>
    <xf numFmtId="168" fontId="20" fillId="10" borderId="4" xfId="0" applyNumberFormat="1" applyFont="1" applyFill="1" applyBorder="1" applyAlignment="1" applyProtection="1">
      <alignment wrapText="1"/>
      <protection locked="0"/>
    </xf>
    <xf numFmtId="169" fontId="17" fillId="10" borderId="4" xfId="3" applyNumberFormat="1" applyFont="1" applyFill="1" applyBorder="1" applyAlignment="1" applyProtection="1">
      <alignment wrapText="1"/>
      <protection locked="0"/>
    </xf>
    <xf numFmtId="168" fontId="17" fillId="10" borderId="4" xfId="0" applyNumberFormat="1" applyFont="1" applyFill="1" applyBorder="1" applyAlignment="1" applyProtection="1">
      <alignment wrapText="1"/>
      <protection locked="0"/>
    </xf>
    <xf numFmtId="170" fontId="17" fillId="10" borderId="4" xfId="3" applyNumberFormat="1" applyFont="1" applyFill="1" applyBorder="1" applyProtection="1"/>
    <xf numFmtId="170" fontId="13" fillId="10" borderId="4" xfId="0" applyNumberFormat="1" applyFont="1" applyFill="1" applyBorder="1" applyAlignment="1" applyProtection="1">
      <alignment horizontal="left" vertical="top" wrapText="1"/>
      <protection locked="0"/>
    </xf>
    <xf numFmtId="0" fontId="23" fillId="2" borderId="4" xfId="0" applyFont="1" applyFill="1" applyBorder="1" applyAlignment="1">
      <alignment horizontal="center"/>
    </xf>
    <xf numFmtId="168" fontId="20" fillId="2" borderId="4" xfId="0" applyNumberFormat="1" applyFont="1" applyFill="1" applyBorder="1" applyAlignment="1" applyProtection="1">
      <alignment wrapText="1"/>
      <protection locked="0"/>
    </xf>
    <xf numFmtId="169" fontId="20" fillId="2" borderId="4" xfId="3" applyNumberFormat="1" applyFont="1" applyFill="1" applyBorder="1" applyAlignment="1" applyProtection="1">
      <alignment wrapText="1"/>
      <protection locked="0"/>
    </xf>
    <xf numFmtId="170" fontId="20" fillId="2" borderId="4" xfId="3" applyNumberFormat="1" applyFont="1" applyFill="1" applyBorder="1" applyProtection="1"/>
    <xf numFmtId="170" fontId="13" fillId="2" borderId="4" xfId="0" applyNumberFormat="1" applyFont="1" applyFill="1" applyBorder="1" applyAlignment="1" applyProtection="1">
      <alignment horizontal="left" vertical="top" wrapText="1"/>
      <protection locked="0"/>
    </xf>
    <xf numFmtId="0" fontId="23" fillId="2" borderId="0" xfId="0" applyFont="1" applyFill="1" applyAlignment="1">
      <alignment horizontal="center"/>
    </xf>
    <xf numFmtId="168" fontId="20" fillId="2" borderId="0" xfId="0" applyNumberFormat="1" applyFont="1" applyFill="1" applyAlignment="1" applyProtection="1">
      <alignment wrapText="1"/>
      <protection locked="0"/>
    </xf>
    <xf numFmtId="169" fontId="20" fillId="2" borderId="0" xfId="3" applyNumberFormat="1" applyFont="1" applyFill="1" applyBorder="1" applyAlignment="1" applyProtection="1">
      <alignment wrapText="1"/>
      <protection locked="0"/>
    </xf>
    <xf numFmtId="170" fontId="20" fillId="2" borderId="0" xfId="3" applyNumberFormat="1" applyFont="1" applyFill="1" applyBorder="1" applyProtection="1"/>
    <xf numFmtId="170" fontId="13" fillId="2" borderId="0" xfId="0" applyNumberFormat="1" applyFont="1" applyFill="1" applyAlignment="1" applyProtection="1">
      <alignment horizontal="left" vertical="top" wrapText="1"/>
      <protection locked="0"/>
    </xf>
    <xf numFmtId="0" fontId="7" fillId="2" borderId="0" xfId="1" applyFont="1" applyFill="1" applyAlignment="1">
      <alignment horizontal="center"/>
    </xf>
    <xf numFmtId="0" fontId="11" fillId="0" borderId="0" xfId="4" applyProtection="1">
      <protection hidden="1"/>
    </xf>
    <xf numFmtId="0" fontId="10" fillId="11" borderId="5" xfId="4" applyFont="1" applyFill="1" applyBorder="1" applyAlignment="1" applyProtection="1">
      <alignment horizontal="center" vertical="center"/>
      <protection hidden="1"/>
    </xf>
    <xf numFmtId="0" fontId="11" fillId="11" borderId="6" xfId="4" applyFill="1" applyBorder="1" applyAlignment="1" applyProtection="1">
      <alignment horizontal="center"/>
      <protection locked="0"/>
    </xf>
    <xf numFmtId="0" fontId="11" fillId="11" borderId="7" xfId="4" applyFill="1" applyBorder="1" applyAlignment="1" applyProtection="1">
      <alignment horizontal="center"/>
      <protection locked="0"/>
    </xf>
    <xf numFmtId="0" fontId="10" fillId="11" borderId="8" xfId="4" applyFont="1" applyFill="1" applyBorder="1" applyAlignment="1" applyProtection="1">
      <alignment horizontal="center" vertical="center"/>
      <protection hidden="1"/>
    </xf>
    <xf numFmtId="0" fontId="11" fillId="11" borderId="0" xfId="4" applyFill="1" applyAlignment="1" applyProtection="1">
      <alignment horizontal="center"/>
      <protection hidden="1"/>
    </xf>
    <xf numFmtId="0" fontId="11" fillId="11" borderId="9" xfId="4" applyFill="1" applyBorder="1" applyAlignment="1" applyProtection="1">
      <alignment horizontal="center"/>
      <protection hidden="1"/>
    </xf>
    <xf numFmtId="0" fontId="10" fillId="11" borderId="10" xfId="4" applyFont="1" applyFill="1" applyBorder="1" applyAlignment="1" applyProtection="1">
      <alignment horizontal="center" vertical="center"/>
      <protection hidden="1"/>
    </xf>
    <xf numFmtId="9" fontId="11" fillId="11" borderId="11" xfId="5" applyFont="1" applyFill="1" applyBorder="1" applyAlignment="1" applyProtection="1">
      <alignment horizontal="center"/>
      <protection hidden="1"/>
    </xf>
    <xf numFmtId="9" fontId="11" fillId="11" borderId="12" xfId="5" applyFont="1" applyFill="1" applyBorder="1" applyAlignment="1" applyProtection="1">
      <alignment horizontal="center"/>
      <protection hidden="1"/>
    </xf>
    <xf numFmtId="0" fontId="10" fillId="0" borderId="0" xfId="4" applyFont="1" applyAlignment="1" applyProtection="1">
      <alignment horizontal="center" vertical="center"/>
      <protection hidden="1"/>
    </xf>
    <xf numFmtId="9" fontId="11" fillId="0" borderId="0" xfId="5" applyFont="1" applyFill="1" applyBorder="1" applyAlignment="1" applyProtection="1">
      <alignment horizontal="center"/>
      <protection hidden="1"/>
    </xf>
    <xf numFmtId="167" fontId="11" fillId="0" borderId="0" xfId="6" applyFont="1" applyFill="1" applyBorder="1" applyProtection="1">
      <protection hidden="1"/>
    </xf>
    <xf numFmtId="0" fontId="10" fillId="11" borderId="13" xfId="4" applyFont="1" applyFill="1" applyBorder="1" applyProtection="1">
      <protection hidden="1"/>
    </xf>
    <xf numFmtId="0" fontId="11" fillId="11" borderId="8" xfId="4" applyFill="1" applyBorder="1" applyAlignment="1" applyProtection="1">
      <alignment horizontal="center"/>
      <protection hidden="1"/>
    </xf>
    <xf numFmtId="0" fontId="25" fillId="0" borderId="0" xfId="4" applyFont="1" applyProtection="1">
      <protection hidden="1"/>
    </xf>
    <xf numFmtId="0" fontId="26" fillId="12" borderId="0" xfId="4" applyFont="1" applyFill="1" applyAlignment="1" applyProtection="1">
      <alignment horizontal="center" vertical="center" wrapText="1"/>
      <protection hidden="1"/>
    </xf>
    <xf numFmtId="0" fontId="26" fillId="12" borderId="15" xfId="4" applyFont="1" applyFill="1" applyBorder="1" applyAlignment="1" applyProtection="1">
      <alignment horizontal="center" vertical="center" wrapText="1"/>
      <protection hidden="1"/>
    </xf>
    <xf numFmtId="171" fontId="26" fillId="12" borderId="0" xfId="4" applyNumberFormat="1" applyFont="1" applyFill="1" applyAlignment="1" applyProtection="1">
      <alignment horizontal="center" vertical="center" wrapText="1"/>
      <protection hidden="1"/>
    </xf>
    <xf numFmtId="0" fontId="27" fillId="0" borderId="6" xfId="4" applyFont="1" applyBorder="1" applyAlignment="1" applyProtection="1">
      <alignment horizontal="center"/>
      <protection locked="0" hidden="1"/>
    </xf>
    <xf numFmtId="172" fontId="27" fillId="0" borderId="6" xfId="4" applyNumberFormat="1" applyFont="1" applyBorder="1" applyAlignment="1" applyProtection="1">
      <alignment horizontal="center"/>
      <protection locked="0" hidden="1"/>
    </xf>
    <xf numFmtId="0" fontId="27" fillId="0" borderId="6" xfId="4" applyFont="1" applyBorder="1" applyAlignment="1" applyProtection="1">
      <alignment horizontal="center"/>
      <protection hidden="1"/>
    </xf>
    <xf numFmtId="9" fontId="27" fillId="0" borderId="7" xfId="4" applyNumberFormat="1" applyFont="1" applyBorder="1" applyAlignment="1" applyProtection="1">
      <alignment horizontal="center"/>
      <protection locked="0" hidden="1"/>
    </xf>
    <xf numFmtId="9" fontId="27" fillId="0" borderId="9" xfId="4" applyNumberFormat="1" applyFont="1" applyBorder="1" applyAlignment="1" applyProtection="1">
      <alignment horizontal="center"/>
      <protection locked="0" hidden="1"/>
    </xf>
    <xf numFmtId="0" fontId="27" fillId="0" borderId="8" xfId="4" applyFont="1" applyBorder="1" applyAlignment="1" applyProtection="1">
      <alignment horizontal="center"/>
      <protection locked="0" hidden="1"/>
    </xf>
    <xf numFmtId="0" fontId="27" fillId="0" borderId="0" xfId="4" applyFont="1" applyAlignment="1" applyProtection="1">
      <alignment horizontal="center"/>
      <protection locked="0" hidden="1"/>
    </xf>
    <xf numFmtId="172" fontId="27" fillId="0" borderId="0" xfId="4" applyNumberFormat="1" applyFont="1" applyAlignment="1" applyProtection="1">
      <alignment horizontal="center"/>
      <protection locked="0" hidden="1"/>
    </xf>
    <xf numFmtId="0" fontId="27" fillId="0" borderId="0" xfId="4" applyFont="1" applyAlignment="1" applyProtection="1">
      <alignment horizontal="center"/>
      <protection hidden="1"/>
    </xf>
    <xf numFmtId="0" fontId="27" fillId="0" borderId="9" xfId="4" applyFont="1" applyBorder="1" applyAlignment="1" applyProtection="1">
      <alignment horizontal="center"/>
      <protection locked="0" hidden="1"/>
    </xf>
    <xf numFmtId="0" fontId="11" fillId="0" borderId="0" xfId="4" applyProtection="1">
      <protection locked="0"/>
    </xf>
    <xf numFmtId="44" fontId="11" fillId="11" borderId="14" xfId="2" applyFont="1" applyFill="1" applyBorder="1" applyProtection="1">
      <protection hidden="1"/>
    </xf>
    <xf numFmtId="44" fontId="27" fillId="0" borderId="9" xfId="2" applyFont="1" applyFill="1" applyBorder="1" applyAlignment="1" applyProtection="1">
      <alignment horizontal="center"/>
      <protection locked="0" hidden="1"/>
    </xf>
    <xf numFmtId="44" fontId="0" fillId="11" borderId="12" xfId="2" applyFont="1" applyFill="1" applyBorder="1" applyProtection="1">
      <protection hidden="1"/>
    </xf>
    <xf numFmtId="44" fontId="0" fillId="11" borderId="10" xfId="2" applyFont="1" applyFill="1" applyBorder="1" applyProtection="1">
      <protection hidden="1"/>
    </xf>
    <xf numFmtId="0" fontId="28" fillId="0" borderId="8" xfId="4" applyFont="1" applyFill="1" applyBorder="1" applyAlignment="1" applyProtection="1">
      <alignment horizontal="center"/>
      <protection locked="0" hidden="1"/>
    </xf>
    <xf numFmtId="0" fontId="27" fillId="0" borderId="5" xfId="4" applyFont="1" applyBorder="1" applyAlignment="1" applyProtection="1">
      <alignment horizontal="left"/>
      <protection locked="0" hidden="1"/>
    </xf>
    <xf numFmtId="0" fontId="28" fillId="0" borderId="8" xfId="4" applyFont="1" applyFill="1" applyBorder="1" applyAlignment="1" applyProtection="1">
      <alignment horizontal="left"/>
      <protection locked="0" hidden="1"/>
    </xf>
    <xf numFmtId="0" fontId="27" fillId="0" borderId="8" xfId="4" applyFont="1" applyBorder="1" applyAlignment="1" applyProtection="1">
      <alignment horizontal="left"/>
      <protection locked="0" hidden="1"/>
    </xf>
  </cellXfs>
  <cellStyles count="7">
    <cellStyle name="Currency" xfId="2" builtinId="4"/>
    <cellStyle name="Currency 2" xfId="3" xr:uid="{2CEB5076-57BD-4AA4-B53E-6038C560C1DB}"/>
    <cellStyle name="Currency 3" xfId="6" xr:uid="{8C024D8D-7C73-4263-A22B-A350E550332A}"/>
    <cellStyle name="Hyperlink" xfId="1" builtinId="8"/>
    <cellStyle name="Normal" xfId="0" builtinId="0"/>
    <cellStyle name="Normal 2" xfId="4" xr:uid="{C89E659B-7C20-4A50-A2C1-C2ABE5733D81}"/>
    <cellStyle name="Percent 2" xfId="5" xr:uid="{4B5B8A38-F50A-4B62-936D-602D456801F4}"/>
  </cellStyles>
  <dxfs count="28">
    <dxf>
      <font>
        <b/>
        <i val="0"/>
        <strike val="0"/>
        <color rgb="FF00B05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strike val="0"/>
        <color rgb="FF00B05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strike val="0"/>
        <color rgb="FF00B05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ck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2" formatCode="m/d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2" formatCode="m/d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</border>
      <protection locked="0" hidden="1"/>
    </dxf>
    <dxf>
      <border outline="0">
        <bottom style="thick">
          <color indexed="64"/>
        </bottom>
      </border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m/d/yyyy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m/d/yyyy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Workload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3">
              <a:lumMod val="750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lumMod val="750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C00000">
              <a:alpha val="85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>
              <a:alpha val="85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v>Complete</c:v>
          </c:tx>
          <c:spPr>
            <a:solidFill>
              <a:schemeClr val="accent3">
                <a:lumMod val="7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4"/>
              <c:pt idx="0">
                <c:v>Everyone</c:v>
              </c:pt>
              <c:pt idx="1">
                <c:v>Jenny Smith</c:v>
              </c:pt>
              <c:pt idx="2">
                <c:v>Stacy Williams</c:v>
              </c:pt>
              <c:pt idx="3">
                <c:v>Bozo the Clown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0-BBA2-4E59-9162-E0420A692624}"/>
            </c:ext>
          </c:extLst>
        </c:ser>
        <c:ser>
          <c:idx val="1"/>
          <c:order val="1"/>
          <c:tx>
            <c:v>In Progress</c:v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4"/>
              <c:pt idx="0">
                <c:v>Everyone</c:v>
              </c:pt>
              <c:pt idx="1">
                <c:v>Jenny Smith</c:v>
              </c:pt>
              <c:pt idx="2">
                <c:v>Stacy Williams</c:v>
              </c:pt>
              <c:pt idx="3">
                <c:v>Bozo the Clown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1</c:v>
              </c:pt>
              <c:pt idx="2">
                <c:v>0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BBA2-4E59-9162-E0420A692624}"/>
            </c:ext>
          </c:extLst>
        </c:ser>
        <c:ser>
          <c:idx val="2"/>
          <c:order val="2"/>
          <c:tx>
            <c:v>Not Started</c:v>
          </c:tx>
          <c:spPr>
            <a:solidFill>
              <a:schemeClr val="accent6">
                <a:lumMod val="7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4"/>
              <c:pt idx="0">
                <c:v>Everyone</c:v>
              </c:pt>
              <c:pt idx="1">
                <c:v>Jenny Smith</c:v>
              </c:pt>
              <c:pt idx="2">
                <c:v>Stacy Williams</c:v>
              </c:pt>
              <c:pt idx="3">
                <c:v>Bozo the Clown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1</c:v>
              </c:pt>
              <c:pt idx="2">
                <c:v>3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BBA2-4E59-9162-E0420A692624}"/>
            </c:ext>
          </c:extLst>
        </c:ser>
        <c:ser>
          <c:idx val="3"/>
          <c:order val="3"/>
          <c:tx>
            <c:v>Overdue</c:v>
          </c:tx>
          <c:spPr>
            <a:solidFill>
              <a:srgbClr val="C0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4"/>
              <c:pt idx="0">
                <c:v>Everyone</c:v>
              </c:pt>
              <c:pt idx="1">
                <c:v>Jenny Smith</c:v>
              </c:pt>
              <c:pt idx="2">
                <c:v>Stacy Williams</c:v>
              </c:pt>
              <c:pt idx="3">
                <c:v>Bozo the Clown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BBA2-4E59-9162-E0420A692624}"/>
            </c:ext>
          </c:extLst>
        </c:ser>
        <c:ser>
          <c:idx val="4"/>
          <c:order val="4"/>
          <c:tx>
            <c:v>(blank)</c:v>
          </c:tx>
          <c:spPr>
            <a:solidFill>
              <a:srgbClr val="00206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4"/>
              <c:pt idx="0">
                <c:v>Everyone</c:v>
              </c:pt>
              <c:pt idx="1">
                <c:v>Jenny Smith</c:v>
              </c:pt>
              <c:pt idx="2">
                <c:v>Stacy Williams</c:v>
              </c:pt>
              <c:pt idx="3">
                <c:v>Bozo the Clown</c:v>
              </c:pt>
            </c:strLit>
          </c:cat>
          <c:val>
            <c:numLit>
              <c:formatCode>General</c:formatCode>
              <c:ptCount val="4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BBA2-4E59-9162-E0420A692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4590120"/>
        <c:axId val="1"/>
      </c:barChart>
      <c:catAx>
        <c:axId val="1154590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154590120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"/>
        <c:spPr>
          <a:solidFill>
            <a:schemeClr val="accent6">
              <a:lumMod val="75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5B0E-4030-8826-FF7FCC6CA491}"/>
              </c:ext>
            </c:extLst>
          </c:dPt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5B0E-4030-8826-FF7FCC6CA491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5B0E-4030-8826-FF7FCC6CA4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5B0E-4030-8826-FF7FCC6CA491}"/>
              </c:ext>
            </c:extLst>
          </c:dPt>
          <c:dLbls>
            <c:dLbl>
              <c:idx val="0"/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0E-4030-8826-FF7FCC6CA491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Complete</c:v>
              </c:pt>
              <c:pt idx="1">
                <c:v>In Progress</c:v>
              </c:pt>
              <c:pt idx="2">
                <c:v>Not Started</c:v>
              </c:pt>
              <c:pt idx="3">
                <c:v>Overdue</c:v>
              </c:pt>
            </c:strLit>
          </c:cat>
          <c:val>
            <c:numLit>
              <c:formatCode>General</c:formatCode>
              <c:ptCount val="4"/>
              <c:pt idx="0">
                <c:v>4</c:v>
              </c:pt>
              <c:pt idx="1">
                <c:v>2</c:v>
              </c:pt>
              <c:pt idx="2">
                <c:v>4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8-5B0E-4030-8826-FF7FCC6CA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Choose Event Time</c:v>
              </c:pt>
              <c:pt idx="1">
                <c:v>Create Guest List</c:v>
              </c:pt>
              <c:pt idx="2">
                <c:v>Create Invitations</c:v>
              </c:pt>
              <c:pt idx="3">
                <c:v>Finalize other Hires</c:v>
              </c:pt>
              <c:pt idx="4">
                <c:v>Hire Event Coordinator</c:v>
              </c:pt>
              <c:pt idx="5">
                <c:v>Lock in Guest List</c:v>
              </c:pt>
              <c:pt idx="6">
                <c:v>PARTY!</c:v>
              </c:pt>
              <c:pt idx="7">
                <c:v>Plan Event Details</c:v>
              </c:pt>
              <c:pt idx="8">
                <c:v>Purchase Invitation Gift</c:v>
              </c:pt>
              <c:pt idx="9">
                <c:v>Purchase Required Items</c:v>
              </c:pt>
              <c:pt idx="10">
                <c:v>Send Invitations</c:v>
              </c:pt>
              <c:pt idx="11">
                <c:v>Send Reminders</c:v>
              </c:pt>
              <c:pt idx="12">
                <c:v>(blank)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310</c:v>
              </c:pt>
              <c:pt idx="4">
                <c:v>200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300</c:v>
              </c:pt>
              <c:pt idx="9">
                <c:v>280</c:v>
              </c:pt>
              <c:pt idx="10">
                <c:v>8</c:v>
              </c:pt>
              <c:pt idx="11">
                <c:v>0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36C-4347-8D80-B0048CD68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54565192"/>
        <c:axId val="1"/>
      </c:barChart>
      <c:catAx>
        <c:axId val="1154565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154565192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 Lengths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600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600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>
              <a:lumMod val="600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Create Guest List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9FC-4ED8-B411-9A4A4B7A6CF1}"/>
            </c:ext>
          </c:extLst>
        </c:ser>
        <c:ser>
          <c:idx val="1"/>
          <c:order val="1"/>
          <c:tx>
            <c:v>Create Invitations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1-19FC-4ED8-B411-9A4A4B7A6CF1}"/>
            </c:ext>
          </c:extLst>
        </c:ser>
        <c:ser>
          <c:idx val="2"/>
          <c:order val="2"/>
          <c:tx>
            <c:v>Finalize other Hires</c:v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2-19FC-4ED8-B411-9A4A4B7A6CF1}"/>
            </c:ext>
          </c:extLst>
        </c:ser>
        <c:ser>
          <c:idx val="3"/>
          <c:order val="3"/>
          <c:tx>
            <c:v>Hire Event Coordinator</c:v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11</c:v>
              </c:pt>
            </c:numLit>
          </c:val>
          <c:extLst>
            <c:ext xmlns:c16="http://schemas.microsoft.com/office/drawing/2014/chart" uri="{C3380CC4-5D6E-409C-BE32-E72D297353CC}">
              <c16:uniqueId val="{00000003-19FC-4ED8-B411-9A4A4B7A6CF1}"/>
            </c:ext>
          </c:extLst>
        </c:ser>
        <c:ser>
          <c:idx val="4"/>
          <c:order val="4"/>
          <c:tx>
            <c:v>Plan Event Details</c:v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04-19FC-4ED8-B411-9A4A4B7A6CF1}"/>
            </c:ext>
          </c:extLst>
        </c:ser>
        <c:ser>
          <c:idx val="5"/>
          <c:order val="5"/>
          <c:tx>
            <c:v>Purchase Invitation Gift</c:v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5-19FC-4ED8-B411-9A4A4B7A6CF1}"/>
            </c:ext>
          </c:extLst>
        </c:ser>
        <c:ser>
          <c:idx val="6"/>
          <c:order val="6"/>
          <c:tx>
            <c:v>Purchase Required Items</c:v>
          </c:tx>
          <c:spPr>
            <a:solidFill>
              <a:schemeClr val="accent1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6-19FC-4ED8-B411-9A4A4B7A6CF1}"/>
            </c:ext>
          </c:extLst>
        </c:ser>
        <c:ser>
          <c:idx val="7"/>
          <c:order val="7"/>
          <c:tx>
            <c:v>Send Invitations</c:v>
          </c:tx>
          <c:spPr>
            <a:solidFill>
              <a:schemeClr val="accent2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7-19FC-4ED8-B411-9A4A4B7A6CF1}"/>
            </c:ext>
          </c:extLst>
        </c:ser>
        <c:ser>
          <c:idx val="8"/>
          <c:order val="8"/>
          <c:tx>
            <c:v>Send Reminders</c:v>
          </c:tx>
          <c:spPr>
            <a:solidFill>
              <a:schemeClr val="accent3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8-19FC-4ED8-B411-9A4A4B7A6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54578968"/>
        <c:axId val="1"/>
      </c:barChart>
      <c:catAx>
        <c:axId val="1154578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1545789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'Project Tracker '!$D$9:$D$23</c:f>
              <c:strCache>
                <c:ptCount val="15"/>
                <c:pt idx="0">
                  <c:v>07/06/19</c:v>
                </c:pt>
                <c:pt idx="1">
                  <c:v>08/06/19</c:v>
                </c:pt>
                <c:pt idx="2">
                  <c:v>06/06/19</c:v>
                </c:pt>
                <c:pt idx="3">
                  <c:v>08/06/19</c:v>
                </c:pt>
                <c:pt idx="4">
                  <c:v>14/06/19</c:v>
                </c:pt>
                <c:pt idx="5">
                  <c:v>13/06/19</c:v>
                </c:pt>
                <c:pt idx="6">
                  <c:v>17/06/19</c:v>
                </c:pt>
                <c:pt idx="7">
                  <c:v>11/06/19</c:v>
                </c:pt>
                <c:pt idx="8">
                  <c:v>14/06/19</c:v>
                </c:pt>
                <c:pt idx="9">
                  <c:v>20/06/19</c:v>
                </c:pt>
                <c:pt idx="10">
                  <c:v>16/06/19</c:v>
                </c:pt>
                <c:pt idx="11">
                  <c:v>21/06/19</c:v>
                </c:pt>
                <c:pt idx="12">
                  <c:v>20/06/19</c:v>
                </c:pt>
                <c:pt idx="13">
                  <c:v>21/06/19</c:v>
                </c:pt>
                <c:pt idx="14">
                  <c:v>26/06/19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'Project Tracker '!$B$9:$B$23</c:f>
              <c:strCache>
                <c:ptCount val="15"/>
                <c:pt idx="0">
                  <c:v>Sample Task 1</c:v>
                </c:pt>
                <c:pt idx="1">
                  <c:v>Sample Task 2</c:v>
                </c:pt>
                <c:pt idx="2">
                  <c:v>Sample Task 3</c:v>
                </c:pt>
                <c:pt idx="3">
                  <c:v>Sample Task 4</c:v>
                </c:pt>
                <c:pt idx="4">
                  <c:v>Sample Task 5</c:v>
                </c:pt>
                <c:pt idx="5">
                  <c:v>Sample Task 6</c:v>
                </c:pt>
                <c:pt idx="6">
                  <c:v>Sample Task 7</c:v>
                </c:pt>
                <c:pt idx="7">
                  <c:v>Sample Task 8</c:v>
                </c:pt>
                <c:pt idx="8">
                  <c:v>Sample Task 9</c:v>
                </c:pt>
                <c:pt idx="9">
                  <c:v>Sample Task 10</c:v>
                </c:pt>
                <c:pt idx="10">
                  <c:v>Sample Task 11</c:v>
                </c:pt>
                <c:pt idx="11">
                  <c:v>Sample Task 12</c:v>
                </c:pt>
                <c:pt idx="12">
                  <c:v>Sample Task 13</c:v>
                </c:pt>
                <c:pt idx="13">
                  <c:v>Sample Task 14</c:v>
                </c:pt>
                <c:pt idx="14">
                  <c:v>Sample Task 15</c:v>
                </c:pt>
              </c:strCache>
            </c:strRef>
          </c:cat>
          <c:val>
            <c:numRef>
              <c:f>'Project Tracker '!$C$9:$C$23</c:f>
              <c:numCache>
                <c:formatCode>m/d/yyyy</c:formatCode>
                <c:ptCount val="15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43622</c:v>
                </c:pt>
                <c:pt idx="4">
                  <c:v>43622</c:v>
                </c:pt>
                <c:pt idx="5">
                  <c:v>43624</c:v>
                </c:pt>
                <c:pt idx="6">
                  <c:v>43625</c:v>
                </c:pt>
                <c:pt idx="7">
                  <c:v>43626</c:v>
                </c:pt>
                <c:pt idx="8">
                  <c:v>43629</c:v>
                </c:pt>
                <c:pt idx="9">
                  <c:v>43630</c:v>
                </c:pt>
                <c:pt idx="10">
                  <c:v>43631</c:v>
                </c:pt>
                <c:pt idx="11">
                  <c:v>43632</c:v>
                </c:pt>
                <c:pt idx="12">
                  <c:v>43633</c:v>
                </c:pt>
                <c:pt idx="13">
                  <c:v>43636</c:v>
                </c:pt>
                <c:pt idx="14">
                  <c:v>43637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93-4EE3-8DE6-5DFD19200BA8}"/>
            </c:ext>
          </c:extLst>
        </c:ser>
        <c:ser>
          <c:idx val="0"/>
          <c:order val="1"/>
          <c:tx>
            <c:strRef>
              <c:f>'Project Tracker '!$E$9:$E$23</c:f>
              <c:strCache>
                <c:ptCount val="15"/>
                <c:pt idx="0">
                  <c:v>6</c:v>
                </c:pt>
                <c:pt idx="1">
                  <c:v>6</c:v>
                </c:pt>
                <c:pt idx="2">
                  <c:v>3</c:v>
                </c:pt>
                <c:pt idx="3">
                  <c:v>2</c:v>
                </c:pt>
                <c:pt idx="4">
                  <c:v>8</c:v>
                </c:pt>
                <c:pt idx="5">
                  <c:v>5</c:v>
                </c:pt>
                <c:pt idx="6">
                  <c:v>8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1</c:v>
                </c:pt>
                <c:pt idx="11">
                  <c:v>5</c:v>
                </c:pt>
                <c:pt idx="12">
                  <c:v>3</c:v>
                </c:pt>
                <c:pt idx="13">
                  <c:v>1</c:v>
                </c:pt>
                <c:pt idx="14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793-4EE3-8DE6-5DFD19200B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793-4EE3-8DE6-5DFD19200B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9793-4EE3-8DE6-5DFD19200BA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9793-4EE3-8DE6-5DFD19200BA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9793-4EE3-8DE6-5DFD19200BA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793-4EE3-8DE6-5DFD19200BA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793-4EE3-8DE6-5DFD19200BA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9793-4EE3-8DE6-5DFD19200BA8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9793-4EE3-8DE6-5DFD19200BA8}"/>
              </c:ext>
            </c:extLst>
          </c:dPt>
          <c:cat>
            <c:strRef>
              <c:f>'Project Tracker '!$B$9:$B$23</c:f>
              <c:strCache>
                <c:ptCount val="15"/>
                <c:pt idx="0">
                  <c:v>Sample Task 1</c:v>
                </c:pt>
                <c:pt idx="1">
                  <c:v>Sample Task 2</c:v>
                </c:pt>
                <c:pt idx="2">
                  <c:v>Sample Task 3</c:v>
                </c:pt>
                <c:pt idx="3">
                  <c:v>Sample Task 4</c:v>
                </c:pt>
                <c:pt idx="4">
                  <c:v>Sample Task 5</c:v>
                </c:pt>
                <c:pt idx="5">
                  <c:v>Sample Task 6</c:v>
                </c:pt>
                <c:pt idx="6">
                  <c:v>Sample Task 7</c:v>
                </c:pt>
                <c:pt idx="7">
                  <c:v>Sample Task 8</c:v>
                </c:pt>
                <c:pt idx="8">
                  <c:v>Sample Task 9</c:v>
                </c:pt>
                <c:pt idx="9">
                  <c:v>Sample Task 10</c:v>
                </c:pt>
                <c:pt idx="10">
                  <c:v>Sample Task 11</c:v>
                </c:pt>
                <c:pt idx="11">
                  <c:v>Sample Task 12</c:v>
                </c:pt>
                <c:pt idx="12">
                  <c:v>Sample Task 13</c:v>
                </c:pt>
                <c:pt idx="13">
                  <c:v>Sample Task 14</c:v>
                </c:pt>
                <c:pt idx="14">
                  <c:v>Sample Task 15</c:v>
                </c:pt>
              </c:strCache>
            </c:strRef>
          </c:cat>
          <c:val>
            <c:numRef>
              <c:f>'Project Tracker '!$E$9:$E$23</c:f>
              <c:numCache>
                <c:formatCode>General</c:formatCode>
                <c:ptCount val="15"/>
                <c:pt idx="0">
                  <c:v>6</c:v>
                </c:pt>
                <c:pt idx="1">
                  <c:v>6</c:v>
                </c:pt>
                <c:pt idx="2">
                  <c:v>3</c:v>
                </c:pt>
                <c:pt idx="3">
                  <c:v>2</c:v>
                </c:pt>
                <c:pt idx="4">
                  <c:v>8</c:v>
                </c:pt>
                <c:pt idx="5">
                  <c:v>5</c:v>
                </c:pt>
                <c:pt idx="6">
                  <c:v>8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1</c:v>
                </c:pt>
                <c:pt idx="11">
                  <c:v>5</c:v>
                </c:pt>
                <c:pt idx="12">
                  <c:v>3</c:v>
                </c:pt>
                <c:pt idx="13">
                  <c:v>1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793-4EE3-8DE6-5DFD19200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394144"/>
        <c:axId val="484394928"/>
      </c:barChart>
      <c:catAx>
        <c:axId val="484394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94928"/>
        <c:crosses val="autoZero"/>
        <c:auto val="1"/>
        <c:lblAlgn val="ctr"/>
        <c:lblOffset val="100"/>
        <c:noMultiLvlLbl val="0"/>
      </c:catAx>
      <c:valAx>
        <c:axId val="4843949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9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485775</xdr:colOff>
      <xdr:row>0</xdr:row>
      <xdr:rowOff>0</xdr:rowOff>
    </xdr:from>
    <xdr:to>
      <xdr:col>14</xdr:col>
      <xdr:colOff>561975</xdr:colOff>
      <xdr:row>20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269FAF8-E49A-49FE-8BBE-F7BAC545D4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6</xdr:col>
      <xdr:colOff>457200</xdr:colOff>
      <xdr:row>20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4BDDB5-6689-4F23-A1B3-70B09D6C1E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38100</xdr:rowOff>
    </xdr:from>
    <xdr:to>
      <xdr:col>21</xdr:col>
      <xdr:colOff>371475</xdr:colOff>
      <xdr:row>33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73AD465-FB46-4DB4-8EDC-1C6CD6B2E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590550</xdr:colOff>
      <xdr:row>0</xdr:row>
      <xdr:rowOff>0</xdr:rowOff>
    </xdr:from>
    <xdr:to>
      <xdr:col>21</xdr:col>
      <xdr:colOff>361950</xdr:colOff>
      <xdr:row>20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B0B9AA0-7E5C-42BF-B861-5C92DF631A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400050</xdr:colOff>
          <xdr:row>2</xdr:row>
          <xdr:rowOff>57150</xdr:rowOff>
        </xdr:from>
        <xdr:to>
          <xdr:col>23</xdr:col>
          <xdr:colOff>0</xdr:colOff>
          <xdr:row>6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F356EE4-885C-4BB2-BDF2-A2D3FF6CC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Update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130173</xdr:colOff>
      <xdr:row>5</xdr:row>
      <xdr:rowOff>184149</xdr:rowOff>
    </xdr:from>
    <xdr:to>
      <xdr:col>23</xdr:col>
      <xdr:colOff>457200</xdr:colOff>
      <xdr:row>30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engetaim\Downloads\Project_dashboard_PM.com_template-1-fx-v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ing"/>
      <sheetName val="Task list"/>
      <sheetName val="Reports"/>
      <sheetName val="How to use this template"/>
    </sheetNames>
    <definedNames>
      <definedName name="Sheet3.mypivotrefreshtest"/>
    </definedNames>
    <sheetDataSet>
      <sheetData sheetId="0"/>
      <sheetData sheetId="1"/>
      <sheetData sheetId="2">
        <row r="115">
          <cell r="AB115" t="str">
            <v>Not Started</v>
          </cell>
        </row>
        <row r="116">
          <cell r="AB116" t="str">
            <v>In Progress</v>
          </cell>
        </row>
        <row r="117">
          <cell r="AB117" t="str">
            <v>Complete</v>
          </cell>
        </row>
        <row r="118">
          <cell r="AB118" t="str">
            <v>Overdue</v>
          </cell>
        </row>
      </sheetData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8CA773-F214-464C-8176-32ED5F4349FF}" name="Table13" displayName="Table13" ref="A10:I505" totalsRowShown="0" headerRowDxfId="21" dataDxfId="20" tableBorderDxfId="19">
  <autoFilter ref="A10:I505" xr:uid="{D2919AB7-12DF-4350-8E66-3EC80743ABA9}"/>
  <tableColumns count="9">
    <tableColumn id="1" xr3:uid="{ECC58A27-7FB2-4EC8-8A55-F5FD37E60A35}" name="Tasks" dataDxfId="18"/>
    <tableColumn id="2" xr3:uid="{C4533B81-7951-4240-AAD2-D4AE49E62106}" name="Assigned To" dataDxfId="17"/>
    <tableColumn id="3" xr3:uid="{F9F6C66D-651E-4636-A240-A1F3D6808AB0}" name="Start" dataDxfId="16"/>
    <tableColumn id="4" xr3:uid="{7FC9D883-A1EB-44E4-B96A-075CAFF729F5}" name="End" dataDxfId="15"/>
    <tableColumn id="5" xr3:uid="{6AA054A7-DF27-4A51-A1C0-3AF737B70799}" name="Days" dataDxfId="14">
      <calculatedColumnFormula>IF(C11="","",IF(D11="","",D11-C11))</calculatedColumnFormula>
    </tableColumn>
    <tableColumn id="6" xr3:uid="{A788A15E-EAAE-453B-A6CA-3737C3941FA0}" name="Status" dataDxfId="13"/>
    <tableColumn id="7" xr3:uid="{B2ABA81B-2B89-4C48-9AE2-BE4CC8C3FD45}" name="Planned Cost" dataDxfId="12" dataCellStyle="Currency"/>
    <tableColumn id="8" xr3:uid="{2F0AC525-193C-432E-9ABB-03C28A1DDB08}" name="Actual Cost" dataDxfId="11" dataCellStyle="Currency"/>
    <tableColumn id="9" xr3:uid="{110F6AD3-2EC6-4D03-B639-3459080B763C}" name="Notes" dataDxfId="1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7:E23" totalsRowShown="0" headerRowDxfId="27" dataDxfId="26">
  <autoFilter ref="B7:E23" xr:uid="{00000000-0009-0000-0100-000001000000}"/>
  <tableColumns count="4">
    <tableColumn id="1" xr3:uid="{00000000-0010-0000-0000-000001000000}" name="Task Name" dataDxfId="25"/>
    <tableColumn id="2" xr3:uid="{00000000-0010-0000-0000-000002000000}" name="Start  (Date)" dataDxfId="24"/>
    <tableColumn id="3" xr3:uid="{00000000-0010-0000-0000-000003000000}" name="End  (Date)" dataDxfId="23"/>
    <tableColumn id="4" xr3:uid="{00000000-0010-0000-0000-000004000000}" name="Duration (Days)" dataDxfId="22">
      <calculatedColumnFormula>D8-C8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F8D04-8990-4734-85FF-B7C1A7F00A4D}">
  <sheetPr codeName="Sheet3"/>
  <dimension ref="A1"/>
  <sheetViews>
    <sheetView showGridLines="0" showRowColHeaders="0" topLeftCell="A3" workbookViewId="0">
      <selection activeCell="K39" sqref="K39"/>
    </sheetView>
  </sheetViews>
  <sheetFormatPr defaultRowHeight="15.75"/>
  <cols>
    <col min="1" max="16384" width="9.140625" style="81"/>
  </cols>
  <sheetData/>
  <sheetProtection password="ED3F" sheet="1" objects="1" scenarios="1" selectLockedCells="1" pivotTables="0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Sheet3.mypivotrefreshtest">
                <anchor moveWithCells="1">
                  <from>
                    <xdr:col>21</xdr:col>
                    <xdr:colOff>400050</xdr:colOff>
                    <xdr:row>2</xdr:row>
                    <xdr:rowOff>57150</xdr:rowOff>
                  </from>
                  <to>
                    <xdr:col>22</xdr:col>
                    <xdr:colOff>533400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F493E-5CC9-48FC-B0FC-5DA15DD4E109}">
  <sheetPr codeName="Sheet1"/>
  <dimension ref="A1:I505"/>
  <sheetViews>
    <sheetView showGridLines="0" workbookViewId="0">
      <selection activeCell="A8" sqref="A8"/>
    </sheetView>
  </sheetViews>
  <sheetFormatPr defaultColWidth="12.5703125" defaultRowHeight="15.75"/>
  <cols>
    <col min="1" max="1" width="44.28515625" style="110" customWidth="1"/>
    <col min="2" max="2" width="29.42578125" style="110" customWidth="1"/>
    <col min="3" max="3" width="15.7109375" style="110" customWidth="1"/>
    <col min="4" max="4" width="21.140625" style="110" customWidth="1"/>
    <col min="5" max="5" width="20.28515625" style="110" customWidth="1"/>
    <col min="6" max="6" width="19" style="110" customWidth="1"/>
    <col min="7" max="8" width="15.7109375" style="110" customWidth="1"/>
    <col min="9" max="9" width="76.140625" style="110" customWidth="1"/>
    <col min="10" max="10" width="44.140625" style="110" customWidth="1"/>
    <col min="11" max="11" width="64.28515625" style="110" customWidth="1"/>
    <col min="12" max="12" width="12.5703125" style="110"/>
    <col min="13" max="13" width="30.28515625" style="110" bestFit="1" customWidth="1"/>
    <col min="14" max="14" width="7.7109375" style="110" bestFit="1" customWidth="1"/>
    <col min="15" max="15" width="12.5703125" style="110"/>
    <col min="16" max="16" width="22" style="110" customWidth="1"/>
    <col min="17" max="256" width="12.5703125" style="110"/>
    <col min="257" max="257" width="44.28515625" style="110" customWidth="1"/>
    <col min="258" max="258" width="29.42578125" style="110" customWidth="1"/>
    <col min="259" max="259" width="15.7109375" style="110" customWidth="1"/>
    <col min="260" max="260" width="21.140625" style="110" customWidth="1"/>
    <col min="261" max="261" width="20.28515625" style="110" customWidth="1"/>
    <col min="262" max="262" width="19" style="110" customWidth="1"/>
    <col min="263" max="264" width="15.7109375" style="110" customWidth="1"/>
    <col min="265" max="265" width="76.140625" style="110" customWidth="1"/>
    <col min="266" max="266" width="44.140625" style="110" customWidth="1"/>
    <col min="267" max="267" width="64.28515625" style="110" customWidth="1"/>
    <col min="268" max="268" width="12.5703125" style="110"/>
    <col min="269" max="269" width="30.28515625" style="110" bestFit="1" customWidth="1"/>
    <col min="270" max="270" width="7.7109375" style="110" bestFit="1" customWidth="1"/>
    <col min="271" max="271" width="12.5703125" style="110"/>
    <col min="272" max="272" width="22" style="110" customWidth="1"/>
    <col min="273" max="512" width="12.5703125" style="110"/>
    <col min="513" max="513" width="44.28515625" style="110" customWidth="1"/>
    <col min="514" max="514" width="29.42578125" style="110" customWidth="1"/>
    <col min="515" max="515" width="15.7109375" style="110" customWidth="1"/>
    <col min="516" max="516" width="21.140625" style="110" customWidth="1"/>
    <col min="517" max="517" width="20.28515625" style="110" customWidth="1"/>
    <col min="518" max="518" width="19" style="110" customWidth="1"/>
    <col min="519" max="520" width="15.7109375" style="110" customWidth="1"/>
    <col min="521" max="521" width="76.140625" style="110" customWidth="1"/>
    <col min="522" max="522" width="44.140625" style="110" customWidth="1"/>
    <col min="523" max="523" width="64.28515625" style="110" customWidth="1"/>
    <col min="524" max="524" width="12.5703125" style="110"/>
    <col min="525" max="525" width="30.28515625" style="110" bestFit="1" customWidth="1"/>
    <col min="526" max="526" width="7.7109375" style="110" bestFit="1" customWidth="1"/>
    <col min="527" max="527" width="12.5703125" style="110"/>
    <col min="528" max="528" width="22" style="110" customWidth="1"/>
    <col min="529" max="768" width="12.5703125" style="110"/>
    <col min="769" max="769" width="44.28515625" style="110" customWidth="1"/>
    <col min="770" max="770" width="29.42578125" style="110" customWidth="1"/>
    <col min="771" max="771" width="15.7109375" style="110" customWidth="1"/>
    <col min="772" max="772" width="21.140625" style="110" customWidth="1"/>
    <col min="773" max="773" width="20.28515625" style="110" customWidth="1"/>
    <col min="774" max="774" width="19" style="110" customWidth="1"/>
    <col min="775" max="776" width="15.7109375" style="110" customWidth="1"/>
    <col min="777" max="777" width="76.140625" style="110" customWidth="1"/>
    <col min="778" max="778" width="44.140625" style="110" customWidth="1"/>
    <col min="779" max="779" width="64.28515625" style="110" customWidth="1"/>
    <col min="780" max="780" width="12.5703125" style="110"/>
    <col min="781" max="781" width="30.28515625" style="110" bestFit="1" customWidth="1"/>
    <col min="782" max="782" width="7.7109375" style="110" bestFit="1" customWidth="1"/>
    <col min="783" max="783" width="12.5703125" style="110"/>
    <col min="784" max="784" width="22" style="110" customWidth="1"/>
    <col min="785" max="1024" width="12.5703125" style="110"/>
    <col min="1025" max="1025" width="44.28515625" style="110" customWidth="1"/>
    <col min="1026" max="1026" width="29.42578125" style="110" customWidth="1"/>
    <col min="1027" max="1027" width="15.7109375" style="110" customWidth="1"/>
    <col min="1028" max="1028" width="21.140625" style="110" customWidth="1"/>
    <col min="1029" max="1029" width="20.28515625" style="110" customWidth="1"/>
    <col min="1030" max="1030" width="19" style="110" customWidth="1"/>
    <col min="1031" max="1032" width="15.7109375" style="110" customWidth="1"/>
    <col min="1033" max="1033" width="76.140625" style="110" customWidth="1"/>
    <col min="1034" max="1034" width="44.140625" style="110" customWidth="1"/>
    <col min="1035" max="1035" width="64.28515625" style="110" customWidth="1"/>
    <col min="1036" max="1036" width="12.5703125" style="110"/>
    <col min="1037" max="1037" width="30.28515625" style="110" bestFit="1" customWidth="1"/>
    <col min="1038" max="1038" width="7.7109375" style="110" bestFit="1" customWidth="1"/>
    <col min="1039" max="1039" width="12.5703125" style="110"/>
    <col min="1040" max="1040" width="22" style="110" customWidth="1"/>
    <col min="1041" max="1280" width="12.5703125" style="110"/>
    <col min="1281" max="1281" width="44.28515625" style="110" customWidth="1"/>
    <col min="1282" max="1282" width="29.42578125" style="110" customWidth="1"/>
    <col min="1283" max="1283" width="15.7109375" style="110" customWidth="1"/>
    <col min="1284" max="1284" width="21.140625" style="110" customWidth="1"/>
    <col min="1285" max="1285" width="20.28515625" style="110" customWidth="1"/>
    <col min="1286" max="1286" width="19" style="110" customWidth="1"/>
    <col min="1287" max="1288" width="15.7109375" style="110" customWidth="1"/>
    <col min="1289" max="1289" width="76.140625" style="110" customWidth="1"/>
    <col min="1290" max="1290" width="44.140625" style="110" customWidth="1"/>
    <col min="1291" max="1291" width="64.28515625" style="110" customWidth="1"/>
    <col min="1292" max="1292" width="12.5703125" style="110"/>
    <col min="1293" max="1293" width="30.28515625" style="110" bestFit="1" customWidth="1"/>
    <col min="1294" max="1294" width="7.7109375" style="110" bestFit="1" customWidth="1"/>
    <col min="1295" max="1295" width="12.5703125" style="110"/>
    <col min="1296" max="1296" width="22" style="110" customWidth="1"/>
    <col min="1297" max="1536" width="12.5703125" style="110"/>
    <col min="1537" max="1537" width="44.28515625" style="110" customWidth="1"/>
    <col min="1538" max="1538" width="29.42578125" style="110" customWidth="1"/>
    <col min="1539" max="1539" width="15.7109375" style="110" customWidth="1"/>
    <col min="1540" max="1540" width="21.140625" style="110" customWidth="1"/>
    <col min="1541" max="1541" width="20.28515625" style="110" customWidth="1"/>
    <col min="1542" max="1542" width="19" style="110" customWidth="1"/>
    <col min="1543" max="1544" width="15.7109375" style="110" customWidth="1"/>
    <col min="1545" max="1545" width="76.140625" style="110" customWidth="1"/>
    <col min="1546" max="1546" width="44.140625" style="110" customWidth="1"/>
    <col min="1547" max="1547" width="64.28515625" style="110" customWidth="1"/>
    <col min="1548" max="1548" width="12.5703125" style="110"/>
    <col min="1549" max="1549" width="30.28515625" style="110" bestFit="1" customWidth="1"/>
    <col min="1550" max="1550" width="7.7109375" style="110" bestFit="1" customWidth="1"/>
    <col min="1551" max="1551" width="12.5703125" style="110"/>
    <col min="1552" max="1552" width="22" style="110" customWidth="1"/>
    <col min="1553" max="1792" width="12.5703125" style="110"/>
    <col min="1793" max="1793" width="44.28515625" style="110" customWidth="1"/>
    <col min="1794" max="1794" width="29.42578125" style="110" customWidth="1"/>
    <col min="1795" max="1795" width="15.7109375" style="110" customWidth="1"/>
    <col min="1796" max="1796" width="21.140625" style="110" customWidth="1"/>
    <col min="1797" max="1797" width="20.28515625" style="110" customWidth="1"/>
    <col min="1798" max="1798" width="19" style="110" customWidth="1"/>
    <col min="1799" max="1800" width="15.7109375" style="110" customWidth="1"/>
    <col min="1801" max="1801" width="76.140625" style="110" customWidth="1"/>
    <col min="1802" max="1802" width="44.140625" style="110" customWidth="1"/>
    <col min="1803" max="1803" width="64.28515625" style="110" customWidth="1"/>
    <col min="1804" max="1804" width="12.5703125" style="110"/>
    <col min="1805" max="1805" width="30.28515625" style="110" bestFit="1" customWidth="1"/>
    <col min="1806" max="1806" width="7.7109375" style="110" bestFit="1" customWidth="1"/>
    <col min="1807" max="1807" width="12.5703125" style="110"/>
    <col min="1808" max="1808" width="22" style="110" customWidth="1"/>
    <col min="1809" max="2048" width="12.5703125" style="110"/>
    <col min="2049" max="2049" width="44.28515625" style="110" customWidth="1"/>
    <col min="2050" max="2050" width="29.42578125" style="110" customWidth="1"/>
    <col min="2051" max="2051" width="15.7109375" style="110" customWidth="1"/>
    <col min="2052" max="2052" width="21.140625" style="110" customWidth="1"/>
    <col min="2053" max="2053" width="20.28515625" style="110" customWidth="1"/>
    <col min="2054" max="2054" width="19" style="110" customWidth="1"/>
    <col min="2055" max="2056" width="15.7109375" style="110" customWidth="1"/>
    <col min="2057" max="2057" width="76.140625" style="110" customWidth="1"/>
    <col min="2058" max="2058" width="44.140625" style="110" customWidth="1"/>
    <col min="2059" max="2059" width="64.28515625" style="110" customWidth="1"/>
    <col min="2060" max="2060" width="12.5703125" style="110"/>
    <col min="2061" max="2061" width="30.28515625" style="110" bestFit="1" customWidth="1"/>
    <col min="2062" max="2062" width="7.7109375" style="110" bestFit="1" customWidth="1"/>
    <col min="2063" max="2063" width="12.5703125" style="110"/>
    <col min="2064" max="2064" width="22" style="110" customWidth="1"/>
    <col min="2065" max="2304" width="12.5703125" style="110"/>
    <col min="2305" max="2305" width="44.28515625" style="110" customWidth="1"/>
    <col min="2306" max="2306" width="29.42578125" style="110" customWidth="1"/>
    <col min="2307" max="2307" width="15.7109375" style="110" customWidth="1"/>
    <col min="2308" max="2308" width="21.140625" style="110" customWidth="1"/>
    <col min="2309" max="2309" width="20.28515625" style="110" customWidth="1"/>
    <col min="2310" max="2310" width="19" style="110" customWidth="1"/>
    <col min="2311" max="2312" width="15.7109375" style="110" customWidth="1"/>
    <col min="2313" max="2313" width="76.140625" style="110" customWidth="1"/>
    <col min="2314" max="2314" width="44.140625" style="110" customWidth="1"/>
    <col min="2315" max="2315" width="64.28515625" style="110" customWidth="1"/>
    <col min="2316" max="2316" width="12.5703125" style="110"/>
    <col min="2317" max="2317" width="30.28515625" style="110" bestFit="1" customWidth="1"/>
    <col min="2318" max="2318" width="7.7109375" style="110" bestFit="1" customWidth="1"/>
    <col min="2319" max="2319" width="12.5703125" style="110"/>
    <col min="2320" max="2320" width="22" style="110" customWidth="1"/>
    <col min="2321" max="2560" width="12.5703125" style="110"/>
    <col min="2561" max="2561" width="44.28515625" style="110" customWidth="1"/>
    <col min="2562" max="2562" width="29.42578125" style="110" customWidth="1"/>
    <col min="2563" max="2563" width="15.7109375" style="110" customWidth="1"/>
    <col min="2564" max="2564" width="21.140625" style="110" customWidth="1"/>
    <col min="2565" max="2565" width="20.28515625" style="110" customWidth="1"/>
    <col min="2566" max="2566" width="19" style="110" customWidth="1"/>
    <col min="2567" max="2568" width="15.7109375" style="110" customWidth="1"/>
    <col min="2569" max="2569" width="76.140625" style="110" customWidth="1"/>
    <col min="2570" max="2570" width="44.140625" style="110" customWidth="1"/>
    <col min="2571" max="2571" width="64.28515625" style="110" customWidth="1"/>
    <col min="2572" max="2572" width="12.5703125" style="110"/>
    <col min="2573" max="2573" width="30.28515625" style="110" bestFit="1" customWidth="1"/>
    <col min="2574" max="2574" width="7.7109375" style="110" bestFit="1" customWidth="1"/>
    <col min="2575" max="2575" width="12.5703125" style="110"/>
    <col min="2576" max="2576" width="22" style="110" customWidth="1"/>
    <col min="2577" max="2816" width="12.5703125" style="110"/>
    <col min="2817" max="2817" width="44.28515625" style="110" customWidth="1"/>
    <col min="2818" max="2818" width="29.42578125" style="110" customWidth="1"/>
    <col min="2819" max="2819" width="15.7109375" style="110" customWidth="1"/>
    <col min="2820" max="2820" width="21.140625" style="110" customWidth="1"/>
    <col min="2821" max="2821" width="20.28515625" style="110" customWidth="1"/>
    <col min="2822" max="2822" width="19" style="110" customWidth="1"/>
    <col min="2823" max="2824" width="15.7109375" style="110" customWidth="1"/>
    <col min="2825" max="2825" width="76.140625" style="110" customWidth="1"/>
    <col min="2826" max="2826" width="44.140625" style="110" customWidth="1"/>
    <col min="2827" max="2827" width="64.28515625" style="110" customWidth="1"/>
    <col min="2828" max="2828" width="12.5703125" style="110"/>
    <col min="2829" max="2829" width="30.28515625" style="110" bestFit="1" customWidth="1"/>
    <col min="2830" max="2830" width="7.7109375" style="110" bestFit="1" customWidth="1"/>
    <col min="2831" max="2831" width="12.5703125" style="110"/>
    <col min="2832" max="2832" width="22" style="110" customWidth="1"/>
    <col min="2833" max="3072" width="12.5703125" style="110"/>
    <col min="3073" max="3073" width="44.28515625" style="110" customWidth="1"/>
    <col min="3074" max="3074" width="29.42578125" style="110" customWidth="1"/>
    <col min="3075" max="3075" width="15.7109375" style="110" customWidth="1"/>
    <col min="3076" max="3076" width="21.140625" style="110" customWidth="1"/>
    <col min="3077" max="3077" width="20.28515625" style="110" customWidth="1"/>
    <col min="3078" max="3078" width="19" style="110" customWidth="1"/>
    <col min="3079" max="3080" width="15.7109375" style="110" customWidth="1"/>
    <col min="3081" max="3081" width="76.140625" style="110" customWidth="1"/>
    <col min="3082" max="3082" width="44.140625" style="110" customWidth="1"/>
    <col min="3083" max="3083" width="64.28515625" style="110" customWidth="1"/>
    <col min="3084" max="3084" width="12.5703125" style="110"/>
    <col min="3085" max="3085" width="30.28515625" style="110" bestFit="1" customWidth="1"/>
    <col min="3086" max="3086" width="7.7109375" style="110" bestFit="1" customWidth="1"/>
    <col min="3087" max="3087" width="12.5703125" style="110"/>
    <col min="3088" max="3088" width="22" style="110" customWidth="1"/>
    <col min="3089" max="3328" width="12.5703125" style="110"/>
    <col min="3329" max="3329" width="44.28515625" style="110" customWidth="1"/>
    <col min="3330" max="3330" width="29.42578125" style="110" customWidth="1"/>
    <col min="3331" max="3331" width="15.7109375" style="110" customWidth="1"/>
    <col min="3332" max="3332" width="21.140625" style="110" customWidth="1"/>
    <col min="3333" max="3333" width="20.28515625" style="110" customWidth="1"/>
    <col min="3334" max="3334" width="19" style="110" customWidth="1"/>
    <col min="3335" max="3336" width="15.7109375" style="110" customWidth="1"/>
    <col min="3337" max="3337" width="76.140625" style="110" customWidth="1"/>
    <col min="3338" max="3338" width="44.140625" style="110" customWidth="1"/>
    <col min="3339" max="3339" width="64.28515625" style="110" customWidth="1"/>
    <col min="3340" max="3340" width="12.5703125" style="110"/>
    <col min="3341" max="3341" width="30.28515625" style="110" bestFit="1" customWidth="1"/>
    <col min="3342" max="3342" width="7.7109375" style="110" bestFit="1" customWidth="1"/>
    <col min="3343" max="3343" width="12.5703125" style="110"/>
    <col min="3344" max="3344" width="22" style="110" customWidth="1"/>
    <col min="3345" max="3584" width="12.5703125" style="110"/>
    <col min="3585" max="3585" width="44.28515625" style="110" customWidth="1"/>
    <col min="3586" max="3586" width="29.42578125" style="110" customWidth="1"/>
    <col min="3587" max="3587" width="15.7109375" style="110" customWidth="1"/>
    <col min="3588" max="3588" width="21.140625" style="110" customWidth="1"/>
    <col min="3589" max="3589" width="20.28515625" style="110" customWidth="1"/>
    <col min="3590" max="3590" width="19" style="110" customWidth="1"/>
    <col min="3591" max="3592" width="15.7109375" style="110" customWidth="1"/>
    <col min="3593" max="3593" width="76.140625" style="110" customWidth="1"/>
    <col min="3594" max="3594" width="44.140625" style="110" customWidth="1"/>
    <col min="3595" max="3595" width="64.28515625" style="110" customWidth="1"/>
    <col min="3596" max="3596" width="12.5703125" style="110"/>
    <col min="3597" max="3597" width="30.28515625" style="110" bestFit="1" customWidth="1"/>
    <col min="3598" max="3598" width="7.7109375" style="110" bestFit="1" customWidth="1"/>
    <col min="3599" max="3599" width="12.5703125" style="110"/>
    <col min="3600" max="3600" width="22" style="110" customWidth="1"/>
    <col min="3601" max="3840" width="12.5703125" style="110"/>
    <col min="3841" max="3841" width="44.28515625" style="110" customWidth="1"/>
    <col min="3842" max="3842" width="29.42578125" style="110" customWidth="1"/>
    <col min="3843" max="3843" width="15.7109375" style="110" customWidth="1"/>
    <col min="3844" max="3844" width="21.140625" style="110" customWidth="1"/>
    <col min="3845" max="3845" width="20.28515625" style="110" customWidth="1"/>
    <col min="3846" max="3846" width="19" style="110" customWidth="1"/>
    <col min="3847" max="3848" width="15.7109375" style="110" customWidth="1"/>
    <col min="3849" max="3849" width="76.140625" style="110" customWidth="1"/>
    <col min="3850" max="3850" width="44.140625" style="110" customWidth="1"/>
    <col min="3851" max="3851" width="64.28515625" style="110" customWidth="1"/>
    <col min="3852" max="3852" width="12.5703125" style="110"/>
    <col min="3853" max="3853" width="30.28515625" style="110" bestFit="1" customWidth="1"/>
    <col min="3854" max="3854" width="7.7109375" style="110" bestFit="1" customWidth="1"/>
    <col min="3855" max="3855" width="12.5703125" style="110"/>
    <col min="3856" max="3856" width="22" style="110" customWidth="1"/>
    <col min="3857" max="4096" width="12.5703125" style="110"/>
    <col min="4097" max="4097" width="44.28515625" style="110" customWidth="1"/>
    <col min="4098" max="4098" width="29.42578125" style="110" customWidth="1"/>
    <col min="4099" max="4099" width="15.7109375" style="110" customWidth="1"/>
    <col min="4100" max="4100" width="21.140625" style="110" customWidth="1"/>
    <col min="4101" max="4101" width="20.28515625" style="110" customWidth="1"/>
    <col min="4102" max="4102" width="19" style="110" customWidth="1"/>
    <col min="4103" max="4104" width="15.7109375" style="110" customWidth="1"/>
    <col min="4105" max="4105" width="76.140625" style="110" customWidth="1"/>
    <col min="4106" max="4106" width="44.140625" style="110" customWidth="1"/>
    <col min="4107" max="4107" width="64.28515625" style="110" customWidth="1"/>
    <col min="4108" max="4108" width="12.5703125" style="110"/>
    <col min="4109" max="4109" width="30.28515625" style="110" bestFit="1" customWidth="1"/>
    <col min="4110" max="4110" width="7.7109375" style="110" bestFit="1" customWidth="1"/>
    <col min="4111" max="4111" width="12.5703125" style="110"/>
    <col min="4112" max="4112" width="22" style="110" customWidth="1"/>
    <col min="4113" max="4352" width="12.5703125" style="110"/>
    <col min="4353" max="4353" width="44.28515625" style="110" customWidth="1"/>
    <col min="4354" max="4354" width="29.42578125" style="110" customWidth="1"/>
    <col min="4355" max="4355" width="15.7109375" style="110" customWidth="1"/>
    <col min="4356" max="4356" width="21.140625" style="110" customWidth="1"/>
    <col min="4357" max="4357" width="20.28515625" style="110" customWidth="1"/>
    <col min="4358" max="4358" width="19" style="110" customWidth="1"/>
    <col min="4359" max="4360" width="15.7109375" style="110" customWidth="1"/>
    <col min="4361" max="4361" width="76.140625" style="110" customWidth="1"/>
    <col min="4362" max="4362" width="44.140625" style="110" customWidth="1"/>
    <col min="4363" max="4363" width="64.28515625" style="110" customWidth="1"/>
    <col min="4364" max="4364" width="12.5703125" style="110"/>
    <col min="4365" max="4365" width="30.28515625" style="110" bestFit="1" customWidth="1"/>
    <col min="4366" max="4366" width="7.7109375" style="110" bestFit="1" customWidth="1"/>
    <col min="4367" max="4367" width="12.5703125" style="110"/>
    <col min="4368" max="4368" width="22" style="110" customWidth="1"/>
    <col min="4369" max="4608" width="12.5703125" style="110"/>
    <col min="4609" max="4609" width="44.28515625" style="110" customWidth="1"/>
    <col min="4610" max="4610" width="29.42578125" style="110" customWidth="1"/>
    <col min="4611" max="4611" width="15.7109375" style="110" customWidth="1"/>
    <col min="4612" max="4612" width="21.140625" style="110" customWidth="1"/>
    <col min="4613" max="4613" width="20.28515625" style="110" customWidth="1"/>
    <col min="4614" max="4614" width="19" style="110" customWidth="1"/>
    <col min="4615" max="4616" width="15.7109375" style="110" customWidth="1"/>
    <col min="4617" max="4617" width="76.140625" style="110" customWidth="1"/>
    <col min="4618" max="4618" width="44.140625" style="110" customWidth="1"/>
    <col min="4619" max="4619" width="64.28515625" style="110" customWidth="1"/>
    <col min="4620" max="4620" width="12.5703125" style="110"/>
    <col min="4621" max="4621" width="30.28515625" style="110" bestFit="1" customWidth="1"/>
    <col min="4622" max="4622" width="7.7109375" style="110" bestFit="1" customWidth="1"/>
    <col min="4623" max="4623" width="12.5703125" style="110"/>
    <col min="4624" max="4624" width="22" style="110" customWidth="1"/>
    <col min="4625" max="4864" width="12.5703125" style="110"/>
    <col min="4865" max="4865" width="44.28515625" style="110" customWidth="1"/>
    <col min="4866" max="4866" width="29.42578125" style="110" customWidth="1"/>
    <col min="4867" max="4867" width="15.7109375" style="110" customWidth="1"/>
    <col min="4868" max="4868" width="21.140625" style="110" customWidth="1"/>
    <col min="4869" max="4869" width="20.28515625" style="110" customWidth="1"/>
    <col min="4870" max="4870" width="19" style="110" customWidth="1"/>
    <col min="4871" max="4872" width="15.7109375" style="110" customWidth="1"/>
    <col min="4873" max="4873" width="76.140625" style="110" customWidth="1"/>
    <col min="4874" max="4874" width="44.140625" style="110" customWidth="1"/>
    <col min="4875" max="4875" width="64.28515625" style="110" customWidth="1"/>
    <col min="4876" max="4876" width="12.5703125" style="110"/>
    <col min="4877" max="4877" width="30.28515625" style="110" bestFit="1" customWidth="1"/>
    <col min="4878" max="4878" width="7.7109375" style="110" bestFit="1" customWidth="1"/>
    <col min="4879" max="4879" width="12.5703125" style="110"/>
    <col min="4880" max="4880" width="22" style="110" customWidth="1"/>
    <col min="4881" max="5120" width="12.5703125" style="110"/>
    <col min="5121" max="5121" width="44.28515625" style="110" customWidth="1"/>
    <col min="5122" max="5122" width="29.42578125" style="110" customWidth="1"/>
    <col min="5123" max="5123" width="15.7109375" style="110" customWidth="1"/>
    <col min="5124" max="5124" width="21.140625" style="110" customWidth="1"/>
    <col min="5125" max="5125" width="20.28515625" style="110" customWidth="1"/>
    <col min="5126" max="5126" width="19" style="110" customWidth="1"/>
    <col min="5127" max="5128" width="15.7109375" style="110" customWidth="1"/>
    <col min="5129" max="5129" width="76.140625" style="110" customWidth="1"/>
    <col min="5130" max="5130" width="44.140625" style="110" customWidth="1"/>
    <col min="5131" max="5131" width="64.28515625" style="110" customWidth="1"/>
    <col min="5132" max="5132" width="12.5703125" style="110"/>
    <col min="5133" max="5133" width="30.28515625" style="110" bestFit="1" customWidth="1"/>
    <col min="5134" max="5134" width="7.7109375" style="110" bestFit="1" customWidth="1"/>
    <col min="5135" max="5135" width="12.5703125" style="110"/>
    <col min="5136" max="5136" width="22" style="110" customWidth="1"/>
    <col min="5137" max="5376" width="12.5703125" style="110"/>
    <col min="5377" max="5377" width="44.28515625" style="110" customWidth="1"/>
    <col min="5378" max="5378" width="29.42578125" style="110" customWidth="1"/>
    <col min="5379" max="5379" width="15.7109375" style="110" customWidth="1"/>
    <col min="5380" max="5380" width="21.140625" style="110" customWidth="1"/>
    <col min="5381" max="5381" width="20.28515625" style="110" customWidth="1"/>
    <col min="5382" max="5382" width="19" style="110" customWidth="1"/>
    <col min="5383" max="5384" width="15.7109375" style="110" customWidth="1"/>
    <col min="5385" max="5385" width="76.140625" style="110" customWidth="1"/>
    <col min="5386" max="5386" width="44.140625" style="110" customWidth="1"/>
    <col min="5387" max="5387" width="64.28515625" style="110" customWidth="1"/>
    <col min="5388" max="5388" width="12.5703125" style="110"/>
    <col min="5389" max="5389" width="30.28515625" style="110" bestFit="1" customWidth="1"/>
    <col min="5390" max="5390" width="7.7109375" style="110" bestFit="1" customWidth="1"/>
    <col min="5391" max="5391" width="12.5703125" style="110"/>
    <col min="5392" max="5392" width="22" style="110" customWidth="1"/>
    <col min="5393" max="5632" width="12.5703125" style="110"/>
    <col min="5633" max="5633" width="44.28515625" style="110" customWidth="1"/>
    <col min="5634" max="5634" width="29.42578125" style="110" customWidth="1"/>
    <col min="5635" max="5635" width="15.7109375" style="110" customWidth="1"/>
    <col min="5636" max="5636" width="21.140625" style="110" customWidth="1"/>
    <col min="5637" max="5637" width="20.28515625" style="110" customWidth="1"/>
    <col min="5638" max="5638" width="19" style="110" customWidth="1"/>
    <col min="5639" max="5640" width="15.7109375" style="110" customWidth="1"/>
    <col min="5641" max="5641" width="76.140625" style="110" customWidth="1"/>
    <col min="5642" max="5642" width="44.140625" style="110" customWidth="1"/>
    <col min="5643" max="5643" width="64.28515625" style="110" customWidth="1"/>
    <col min="5644" max="5644" width="12.5703125" style="110"/>
    <col min="5645" max="5645" width="30.28515625" style="110" bestFit="1" customWidth="1"/>
    <col min="5646" max="5646" width="7.7109375" style="110" bestFit="1" customWidth="1"/>
    <col min="5647" max="5647" width="12.5703125" style="110"/>
    <col min="5648" max="5648" width="22" style="110" customWidth="1"/>
    <col min="5649" max="5888" width="12.5703125" style="110"/>
    <col min="5889" max="5889" width="44.28515625" style="110" customWidth="1"/>
    <col min="5890" max="5890" width="29.42578125" style="110" customWidth="1"/>
    <col min="5891" max="5891" width="15.7109375" style="110" customWidth="1"/>
    <col min="5892" max="5892" width="21.140625" style="110" customWidth="1"/>
    <col min="5893" max="5893" width="20.28515625" style="110" customWidth="1"/>
    <col min="5894" max="5894" width="19" style="110" customWidth="1"/>
    <col min="5895" max="5896" width="15.7109375" style="110" customWidth="1"/>
    <col min="5897" max="5897" width="76.140625" style="110" customWidth="1"/>
    <col min="5898" max="5898" width="44.140625" style="110" customWidth="1"/>
    <col min="5899" max="5899" width="64.28515625" style="110" customWidth="1"/>
    <col min="5900" max="5900" width="12.5703125" style="110"/>
    <col min="5901" max="5901" width="30.28515625" style="110" bestFit="1" customWidth="1"/>
    <col min="5902" max="5902" width="7.7109375" style="110" bestFit="1" customWidth="1"/>
    <col min="5903" max="5903" width="12.5703125" style="110"/>
    <col min="5904" max="5904" width="22" style="110" customWidth="1"/>
    <col min="5905" max="6144" width="12.5703125" style="110"/>
    <col min="6145" max="6145" width="44.28515625" style="110" customWidth="1"/>
    <col min="6146" max="6146" width="29.42578125" style="110" customWidth="1"/>
    <col min="6147" max="6147" width="15.7109375" style="110" customWidth="1"/>
    <col min="6148" max="6148" width="21.140625" style="110" customWidth="1"/>
    <col min="6149" max="6149" width="20.28515625" style="110" customWidth="1"/>
    <col min="6150" max="6150" width="19" style="110" customWidth="1"/>
    <col min="6151" max="6152" width="15.7109375" style="110" customWidth="1"/>
    <col min="6153" max="6153" width="76.140625" style="110" customWidth="1"/>
    <col min="6154" max="6154" width="44.140625" style="110" customWidth="1"/>
    <col min="6155" max="6155" width="64.28515625" style="110" customWidth="1"/>
    <col min="6156" max="6156" width="12.5703125" style="110"/>
    <col min="6157" max="6157" width="30.28515625" style="110" bestFit="1" customWidth="1"/>
    <col min="6158" max="6158" width="7.7109375" style="110" bestFit="1" customWidth="1"/>
    <col min="6159" max="6159" width="12.5703125" style="110"/>
    <col min="6160" max="6160" width="22" style="110" customWidth="1"/>
    <col min="6161" max="6400" width="12.5703125" style="110"/>
    <col min="6401" max="6401" width="44.28515625" style="110" customWidth="1"/>
    <col min="6402" max="6402" width="29.42578125" style="110" customWidth="1"/>
    <col min="6403" max="6403" width="15.7109375" style="110" customWidth="1"/>
    <col min="6404" max="6404" width="21.140625" style="110" customWidth="1"/>
    <col min="6405" max="6405" width="20.28515625" style="110" customWidth="1"/>
    <col min="6406" max="6406" width="19" style="110" customWidth="1"/>
    <col min="6407" max="6408" width="15.7109375" style="110" customWidth="1"/>
    <col min="6409" max="6409" width="76.140625" style="110" customWidth="1"/>
    <col min="6410" max="6410" width="44.140625" style="110" customWidth="1"/>
    <col min="6411" max="6411" width="64.28515625" style="110" customWidth="1"/>
    <col min="6412" max="6412" width="12.5703125" style="110"/>
    <col min="6413" max="6413" width="30.28515625" style="110" bestFit="1" customWidth="1"/>
    <col min="6414" max="6414" width="7.7109375" style="110" bestFit="1" customWidth="1"/>
    <col min="6415" max="6415" width="12.5703125" style="110"/>
    <col min="6416" max="6416" width="22" style="110" customWidth="1"/>
    <col min="6417" max="6656" width="12.5703125" style="110"/>
    <col min="6657" max="6657" width="44.28515625" style="110" customWidth="1"/>
    <col min="6658" max="6658" width="29.42578125" style="110" customWidth="1"/>
    <col min="6659" max="6659" width="15.7109375" style="110" customWidth="1"/>
    <col min="6660" max="6660" width="21.140625" style="110" customWidth="1"/>
    <col min="6661" max="6661" width="20.28515625" style="110" customWidth="1"/>
    <col min="6662" max="6662" width="19" style="110" customWidth="1"/>
    <col min="6663" max="6664" width="15.7109375" style="110" customWidth="1"/>
    <col min="6665" max="6665" width="76.140625" style="110" customWidth="1"/>
    <col min="6666" max="6666" width="44.140625" style="110" customWidth="1"/>
    <col min="6667" max="6667" width="64.28515625" style="110" customWidth="1"/>
    <col min="6668" max="6668" width="12.5703125" style="110"/>
    <col min="6669" max="6669" width="30.28515625" style="110" bestFit="1" customWidth="1"/>
    <col min="6670" max="6670" width="7.7109375" style="110" bestFit="1" customWidth="1"/>
    <col min="6671" max="6671" width="12.5703125" style="110"/>
    <col min="6672" max="6672" width="22" style="110" customWidth="1"/>
    <col min="6673" max="6912" width="12.5703125" style="110"/>
    <col min="6913" max="6913" width="44.28515625" style="110" customWidth="1"/>
    <col min="6914" max="6914" width="29.42578125" style="110" customWidth="1"/>
    <col min="6915" max="6915" width="15.7109375" style="110" customWidth="1"/>
    <col min="6916" max="6916" width="21.140625" style="110" customWidth="1"/>
    <col min="6917" max="6917" width="20.28515625" style="110" customWidth="1"/>
    <col min="6918" max="6918" width="19" style="110" customWidth="1"/>
    <col min="6919" max="6920" width="15.7109375" style="110" customWidth="1"/>
    <col min="6921" max="6921" width="76.140625" style="110" customWidth="1"/>
    <col min="6922" max="6922" width="44.140625" style="110" customWidth="1"/>
    <col min="6923" max="6923" width="64.28515625" style="110" customWidth="1"/>
    <col min="6924" max="6924" width="12.5703125" style="110"/>
    <col min="6925" max="6925" width="30.28515625" style="110" bestFit="1" customWidth="1"/>
    <col min="6926" max="6926" width="7.7109375" style="110" bestFit="1" customWidth="1"/>
    <col min="6927" max="6927" width="12.5703125" style="110"/>
    <col min="6928" max="6928" width="22" style="110" customWidth="1"/>
    <col min="6929" max="7168" width="12.5703125" style="110"/>
    <col min="7169" max="7169" width="44.28515625" style="110" customWidth="1"/>
    <col min="7170" max="7170" width="29.42578125" style="110" customWidth="1"/>
    <col min="7171" max="7171" width="15.7109375" style="110" customWidth="1"/>
    <col min="7172" max="7172" width="21.140625" style="110" customWidth="1"/>
    <col min="7173" max="7173" width="20.28515625" style="110" customWidth="1"/>
    <col min="7174" max="7174" width="19" style="110" customWidth="1"/>
    <col min="7175" max="7176" width="15.7109375" style="110" customWidth="1"/>
    <col min="7177" max="7177" width="76.140625" style="110" customWidth="1"/>
    <col min="7178" max="7178" width="44.140625" style="110" customWidth="1"/>
    <col min="7179" max="7179" width="64.28515625" style="110" customWidth="1"/>
    <col min="7180" max="7180" width="12.5703125" style="110"/>
    <col min="7181" max="7181" width="30.28515625" style="110" bestFit="1" customWidth="1"/>
    <col min="7182" max="7182" width="7.7109375" style="110" bestFit="1" customWidth="1"/>
    <col min="7183" max="7183" width="12.5703125" style="110"/>
    <col min="7184" max="7184" width="22" style="110" customWidth="1"/>
    <col min="7185" max="7424" width="12.5703125" style="110"/>
    <col min="7425" max="7425" width="44.28515625" style="110" customWidth="1"/>
    <col min="7426" max="7426" width="29.42578125" style="110" customWidth="1"/>
    <col min="7427" max="7427" width="15.7109375" style="110" customWidth="1"/>
    <col min="7428" max="7428" width="21.140625" style="110" customWidth="1"/>
    <col min="7429" max="7429" width="20.28515625" style="110" customWidth="1"/>
    <col min="7430" max="7430" width="19" style="110" customWidth="1"/>
    <col min="7431" max="7432" width="15.7109375" style="110" customWidth="1"/>
    <col min="7433" max="7433" width="76.140625" style="110" customWidth="1"/>
    <col min="7434" max="7434" width="44.140625" style="110" customWidth="1"/>
    <col min="7435" max="7435" width="64.28515625" style="110" customWidth="1"/>
    <col min="7436" max="7436" width="12.5703125" style="110"/>
    <col min="7437" max="7437" width="30.28515625" style="110" bestFit="1" customWidth="1"/>
    <col min="7438" max="7438" width="7.7109375" style="110" bestFit="1" customWidth="1"/>
    <col min="7439" max="7439" width="12.5703125" style="110"/>
    <col min="7440" max="7440" width="22" style="110" customWidth="1"/>
    <col min="7441" max="7680" width="12.5703125" style="110"/>
    <col min="7681" max="7681" width="44.28515625" style="110" customWidth="1"/>
    <col min="7682" max="7682" width="29.42578125" style="110" customWidth="1"/>
    <col min="7683" max="7683" width="15.7109375" style="110" customWidth="1"/>
    <col min="7684" max="7684" width="21.140625" style="110" customWidth="1"/>
    <col min="7685" max="7685" width="20.28515625" style="110" customWidth="1"/>
    <col min="7686" max="7686" width="19" style="110" customWidth="1"/>
    <col min="7687" max="7688" width="15.7109375" style="110" customWidth="1"/>
    <col min="7689" max="7689" width="76.140625" style="110" customWidth="1"/>
    <col min="7690" max="7690" width="44.140625" style="110" customWidth="1"/>
    <col min="7691" max="7691" width="64.28515625" style="110" customWidth="1"/>
    <col min="7692" max="7692" width="12.5703125" style="110"/>
    <col min="7693" max="7693" width="30.28515625" style="110" bestFit="1" customWidth="1"/>
    <col min="7694" max="7694" width="7.7109375" style="110" bestFit="1" customWidth="1"/>
    <col min="7695" max="7695" width="12.5703125" style="110"/>
    <col min="7696" max="7696" width="22" style="110" customWidth="1"/>
    <col min="7697" max="7936" width="12.5703125" style="110"/>
    <col min="7937" max="7937" width="44.28515625" style="110" customWidth="1"/>
    <col min="7938" max="7938" width="29.42578125" style="110" customWidth="1"/>
    <col min="7939" max="7939" width="15.7109375" style="110" customWidth="1"/>
    <col min="7940" max="7940" width="21.140625" style="110" customWidth="1"/>
    <col min="7941" max="7941" width="20.28515625" style="110" customWidth="1"/>
    <col min="7942" max="7942" width="19" style="110" customWidth="1"/>
    <col min="7943" max="7944" width="15.7109375" style="110" customWidth="1"/>
    <col min="7945" max="7945" width="76.140625" style="110" customWidth="1"/>
    <col min="7946" max="7946" width="44.140625" style="110" customWidth="1"/>
    <col min="7947" max="7947" width="64.28515625" style="110" customWidth="1"/>
    <col min="7948" max="7948" width="12.5703125" style="110"/>
    <col min="7949" max="7949" width="30.28515625" style="110" bestFit="1" customWidth="1"/>
    <col min="7950" max="7950" width="7.7109375" style="110" bestFit="1" customWidth="1"/>
    <col min="7951" max="7951" width="12.5703125" style="110"/>
    <col min="7952" max="7952" width="22" style="110" customWidth="1"/>
    <col min="7953" max="8192" width="12.5703125" style="110"/>
    <col min="8193" max="8193" width="44.28515625" style="110" customWidth="1"/>
    <col min="8194" max="8194" width="29.42578125" style="110" customWidth="1"/>
    <col min="8195" max="8195" width="15.7109375" style="110" customWidth="1"/>
    <col min="8196" max="8196" width="21.140625" style="110" customWidth="1"/>
    <col min="8197" max="8197" width="20.28515625" style="110" customWidth="1"/>
    <col min="8198" max="8198" width="19" style="110" customWidth="1"/>
    <col min="8199" max="8200" width="15.7109375" style="110" customWidth="1"/>
    <col min="8201" max="8201" width="76.140625" style="110" customWidth="1"/>
    <col min="8202" max="8202" width="44.140625" style="110" customWidth="1"/>
    <col min="8203" max="8203" width="64.28515625" style="110" customWidth="1"/>
    <col min="8204" max="8204" width="12.5703125" style="110"/>
    <col min="8205" max="8205" width="30.28515625" style="110" bestFit="1" customWidth="1"/>
    <col min="8206" max="8206" width="7.7109375" style="110" bestFit="1" customWidth="1"/>
    <col min="8207" max="8207" width="12.5703125" style="110"/>
    <col min="8208" max="8208" width="22" style="110" customWidth="1"/>
    <col min="8209" max="8448" width="12.5703125" style="110"/>
    <col min="8449" max="8449" width="44.28515625" style="110" customWidth="1"/>
    <col min="8450" max="8450" width="29.42578125" style="110" customWidth="1"/>
    <col min="8451" max="8451" width="15.7109375" style="110" customWidth="1"/>
    <col min="8452" max="8452" width="21.140625" style="110" customWidth="1"/>
    <col min="8453" max="8453" width="20.28515625" style="110" customWidth="1"/>
    <col min="8454" max="8454" width="19" style="110" customWidth="1"/>
    <col min="8455" max="8456" width="15.7109375" style="110" customWidth="1"/>
    <col min="8457" max="8457" width="76.140625" style="110" customWidth="1"/>
    <col min="8458" max="8458" width="44.140625" style="110" customWidth="1"/>
    <col min="8459" max="8459" width="64.28515625" style="110" customWidth="1"/>
    <col min="8460" max="8460" width="12.5703125" style="110"/>
    <col min="8461" max="8461" width="30.28515625" style="110" bestFit="1" customWidth="1"/>
    <col min="8462" max="8462" width="7.7109375" style="110" bestFit="1" customWidth="1"/>
    <col min="8463" max="8463" width="12.5703125" style="110"/>
    <col min="8464" max="8464" width="22" style="110" customWidth="1"/>
    <col min="8465" max="8704" width="12.5703125" style="110"/>
    <col min="8705" max="8705" width="44.28515625" style="110" customWidth="1"/>
    <col min="8706" max="8706" width="29.42578125" style="110" customWidth="1"/>
    <col min="8707" max="8707" width="15.7109375" style="110" customWidth="1"/>
    <col min="8708" max="8708" width="21.140625" style="110" customWidth="1"/>
    <col min="8709" max="8709" width="20.28515625" style="110" customWidth="1"/>
    <col min="8710" max="8710" width="19" style="110" customWidth="1"/>
    <col min="8711" max="8712" width="15.7109375" style="110" customWidth="1"/>
    <col min="8713" max="8713" width="76.140625" style="110" customWidth="1"/>
    <col min="8714" max="8714" width="44.140625" style="110" customWidth="1"/>
    <col min="8715" max="8715" width="64.28515625" style="110" customWidth="1"/>
    <col min="8716" max="8716" width="12.5703125" style="110"/>
    <col min="8717" max="8717" width="30.28515625" style="110" bestFit="1" customWidth="1"/>
    <col min="8718" max="8718" width="7.7109375" style="110" bestFit="1" customWidth="1"/>
    <col min="8719" max="8719" width="12.5703125" style="110"/>
    <col min="8720" max="8720" width="22" style="110" customWidth="1"/>
    <col min="8721" max="8960" width="12.5703125" style="110"/>
    <col min="8961" max="8961" width="44.28515625" style="110" customWidth="1"/>
    <col min="8962" max="8962" width="29.42578125" style="110" customWidth="1"/>
    <col min="8963" max="8963" width="15.7109375" style="110" customWidth="1"/>
    <col min="8964" max="8964" width="21.140625" style="110" customWidth="1"/>
    <col min="8965" max="8965" width="20.28515625" style="110" customWidth="1"/>
    <col min="8966" max="8966" width="19" style="110" customWidth="1"/>
    <col min="8967" max="8968" width="15.7109375" style="110" customWidth="1"/>
    <col min="8969" max="8969" width="76.140625" style="110" customWidth="1"/>
    <col min="8970" max="8970" width="44.140625" style="110" customWidth="1"/>
    <col min="8971" max="8971" width="64.28515625" style="110" customWidth="1"/>
    <col min="8972" max="8972" width="12.5703125" style="110"/>
    <col min="8973" max="8973" width="30.28515625" style="110" bestFit="1" customWidth="1"/>
    <col min="8974" max="8974" width="7.7109375" style="110" bestFit="1" customWidth="1"/>
    <col min="8975" max="8975" width="12.5703125" style="110"/>
    <col min="8976" max="8976" width="22" style="110" customWidth="1"/>
    <col min="8977" max="9216" width="12.5703125" style="110"/>
    <col min="9217" max="9217" width="44.28515625" style="110" customWidth="1"/>
    <col min="9218" max="9218" width="29.42578125" style="110" customWidth="1"/>
    <col min="9219" max="9219" width="15.7109375" style="110" customWidth="1"/>
    <col min="9220" max="9220" width="21.140625" style="110" customWidth="1"/>
    <col min="9221" max="9221" width="20.28515625" style="110" customWidth="1"/>
    <col min="9222" max="9222" width="19" style="110" customWidth="1"/>
    <col min="9223" max="9224" width="15.7109375" style="110" customWidth="1"/>
    <col min="9225" max="9225" width="76.140625" style="110" customWidth="1"/>
    <col min="9226" max="9226" width="44.140625" style="110" customWidth="1"/>
    <col min="9227" max="9227" width="64.28515625" style="110" customWidth="1"/>
    <col min="9228" max="9228" width="12.5703125" style="110"/>
    <col min="9229" max="9229" width="30.28515625" style="110" bestFit="1" customWidth="1"/>
    <col min="9230" max="9230" width="7.7109375" style="110" bestFit="1" customWidth="1"/>
    <col min="9231" max="9231" width="12.5703125" style="110"/>
    <col min="9232" max="9232" width="22" style="110" customWidth="1"/>
    <col min="9233" max="9472" width="12.5703125" style="110"/>
    <col min="9473" max="9473" width="44.28515625" style="110" customWidth="1"/>
    <col min="9474" max="9474" width="29.42578125" style="110" customWidth="1"/>
    <col min="9475" max="9475" width="15.7109375" style="110" customWidth="1"/>
    <col min="9476" max="9476" width="21.140625" style="110" customWidth="1"/>
    <col min="9477" max="9477" width="20.28515625" style="110" customWidth="1"/>
    <col min="9478" max="9478" width="19" style="110" customWidth="1"/>
    <col min="9479" max="9480" width="15.7109375" style="110" customWidth="1"/>
    <col min="9481" max="9481" width="76.140625" style="110" customWidth="1"/>
    <col min="9482" max="9482" width="44.140625" style="110" customWidth="1"/>
    <col min="9483" max="9483" width="64.28515625" style="110" customWidth="1"/>
    <col min="9484" max="9484" width="12.5703125" style="110"/>
    <col min="9485" max="9485" width="30.28515625" style="110" bestFit="1" customWidth="1"/>
    <col min="9486" max="9486" width="7.7109375" style="110" bestFit="1" customWidth="1"/>
    <col min="9487" max="9487" width="12.5703125" style="110"/>
    <col min="9488" max="9488" width="22" style="110" customWidth="1"/>
    <col min="9489" max="9728" width="12.5703125" style="110"/>
    <col min="9729" max="9729" width="44.28515625" style="110" customWidth="1"/>
    <col min="9730" max="9730" width="29.42578125" style="110" customWidth="1"/>
    <col min="9731" max="9731" width="15.7109375" style="110" customWidth="1"/>
    <col min="9732" max="9732" width="21.140625" style="110" customWidth="1"/>
    <col min="9733" max="9733" width="20.28515625" style="110" customWidth="1"/>
    <col min="9734" max="9734" width="19" style="110" customWidth="1"/>
    <col min="9735" max="9736" width="15.7109375" style="110" customWidth="1"/>
    <col min="9737" max="9737" width="76.140625" style="110" customWidth="1"/>
    <col min="9738" max="9738" width="44.140625" style="110" customWidth="1"/>
    <col min="9739" max="9739" width="64.28515625" style="110" customWidth="1"/>
    <col min="9740" max="9740" width="12.5703125" style="110"/>
    <col min="9741" max="9741" width="30.28515625" style="110" bestFit="1" customWidth="1"/>
    <col min="9742" max="9742" width="7.7109375" style="110" bestFit="1" customWidth="1"/>
    <col min="9743" max="9743" width="12.5703125" style="110"/>
    <col min="9744" max="9744" width="22" style="110" customWidth="1"/>
    <col min="9745" max="9984" width="12.5703125" style="110"/>
    <col min="9985" max="9985" width="44.28515625" style="110" customWidth="1"/>
    <col min="9986" max="9986" width="29.42578125" style="110" customWidth="1"/>
    <col min="9987" max="9987" width="15.7109375" style="110" customWidth="1"/>
    <col min="9988" max="9988" width="21.140625" style="110" customWidth="1"/>
    <col min="9989" max="9989" width="20.28515625" style="110" customWidth="1"/>
    <col min="9990" max="9990" width="19" style="110" customWidth="1"/>
    <col min="9991" max="9992" width="15.7109375" style="110" customWidth="1"/>
    <col min="9993" max="9993" width="76.140625" style="110" customWidth="1"/>
    <col min="9994" max="9994" width="44.140625" style="110" customWidth="1"/>
    <col min="9995" max="9995" width="64.28515625" style="110" customWidth="1"/>
    <col min="9996" max="9996" width="12.5703125" style="110"/>
    <col min="9997" max="9997" width="30.28515625" style="110" bestFit="1" customWidth="1"/>
    <col min="9998" max="9998" width="7.7109375" style="110" bestFit="1" customWidth="1"/>
    <col min="9999" max="9999" width="12.5703125" style="110"/>
    <col min="10000" max="10000" width="22" style="110" customWidth="1"/>
    <col min="10001" max="10240" width="12.5703125" style="110"/>
    <col min="10241" max="10241" width="44.28515625" style="110" customWidth="1"/>
    <col min="10242" max="10242" width="29.42578125" style="110" customWidth="1"/>
    <col min="10243" max="10243" width="15.7109375" style="110" customWidth="1"/>
    <col min="10244" max="10244" width="21.140625" style="110" customWidth="1"/>
    <col min="10245" max="10245" width="20.28515625" style="110" customWidth="1"/>
    <col min="10246" max="10246" width="19" style="110" customWidth="1"/>
    <col min="10247" max="10248" width="15.7109375" style="110" customWidth="1"/>
    <col min="10249" max="10249" width="76.140625" style="110" customWidth="1"/>
    <col min="10250" max="10250" width="44.140625" style="110" customWidth="1"/>
    <col min="10251" max="10251" width="64.28515625" style="110" customWidth="1"/>
    <col min="10252" max="10252" width="12.5703125" style="110"/>
    <col min="10253" max="10253" width="30.28515625" style="110" bestFit="1" customWidth="1"/>
    <col min="10254" max="10254" width="7.7109375" style="110" bestFit="1" customWidth="1"/>
    <col min="10255" max="10255" width="12.5703125" style="110"/>
    <col min="10256" max="10256" width="22" style="110" customWidth="1"/>
    <col min="10257" max="10496" width="12.5703125" style="110"/>
    <col min="10497" max="10497" width="44.28515625" style="110" customWidth="1"/>
    <col min="10498" max="10498" width="29.42578125" style="110" customWidth="1"/>
    <col min="10499" max="10499" width="15.7109375" style="110" customWidth="1"/>
    <col min="10500" max="10500" width="21.140625" style="110" customWidth="1"/>
    <col min="10501" max="10501" width="20.28515625" style="110" customWidth="1"/>
    <col min="10502" max="10502" width="19" style="110" customWidth="1"/>
    <col min="10503" max="10504" width="15.7109375" style="110" customWidth="1"/>
    <col min="10505" max="10505" width="76.140625" style="110" customWidth="1"/>
    <col min="10506" max="10506" width="44.140625" style="110" customWidth="1"/>
    <col min="10507" max="10507" width="64.28515625" style="110" customWidth="1"/>
    <col min="10508" max="10508" width="12.5703125" style="110"/>
    <col min="10509" max="10509" width="30.28515625" style="110" bestFit="1" customWidth="1"/>
    <col min="10510" max="10510" width="7.7109375" style="110" bestFit="1" customWidth="1"/>
    <col min="10511" max="10511" width="12.5703125" style="110"/>
    <col min="10512" max="10512" width="22" style="110" customWidth="1"/>
    <col min="10513" max="10752" width="12.5703125" style="110"/>
    <col min="10753" max="10753" width="44.28515625" style="110" customWidth="1"/>
    <col min="10754" max="10754" width="29.42578125" style="110" customWidth="1"/>
    <col min="10755" max="10755" width="15.7109375" style="110" customWidth="1"/>
    <col min="10756" max="10756" width="21.140625" style="110" customWidth="1"/>
    <col min="10757" max="10757" width="20.28515625" style="110" customWidth="1"/>
    <col min="10758" max="10758" width="19" style="110" customWidth="1"/>
    <col min="10759" max="10760" width="15.7109375" style="110" customWidth="1"/>
    <col min="10761" max="10761" width="76.140625" style="110" customWidth="1"/>
    <col min="10762" max="10762" width="44.140625" style="110" customWidth="1"/>
    <col min="10763" max="10763" width="64.28515625" style="110" customWidth="1"/>
    <col min="10764" max="10764" width="12.5703125" style="110"/>
    <col min="10765" max="10765" width="30.28515625" style="110" bestFit="1" customWidth="1"/>
    <col min="10766" max="10766" width="7.7109375" style="110" bestFit="1" customWidth="1"/>
    <col min="10767" max="10767" width="12.5703125" style="110"/>
    <col min="10768" max="10768" width="22" style="110" customWidth="1"/>
    <col min="10769" max="11008" width="12.5703125" style="110"/>
    <col min="11009" max="11009" width="44.28515625" style="110" customWidth="1"/>
    <col min="11010" max="11010" width="29.42578125" style="110" customWidth="1"/>
    <col min="11011" max="11011" width="15.7109375" style="110" customWidth="1"/>
    <col min="11012" max="11012" width="21.140625" style="110" customWidth="1"/>
    <col min="11013" max="11013" width="20.28515625" style="110" customWidth="1"/>
    <col min="11014" max="11014" width="19" style="110" customWidth="1"/>
    <col min="11015" max="11016" width="15.7109375" style="110" customWidth="1"/>
    <col min="11017" max="11017" width="76.140625" style="110" customWidth="1"/>
    <col min="11018" max="11018" width="44.140625" style="110" customWidth="1"/>
    <col min="11019" max="11019" width="64.28515625" style="110" customWidth="1"/>
    <col min="11020" max="11020" width="12.5703125" style="110"/>
    <col min="11021" max="11021" width="30.28515625" style="110" bestFit="1" customWidth="1"/>
    <col min="11022" max="11022" width="7.7109375" style="110" bestFit="1" customWidth="1"/>
    <col min="11023" max="11023" width="12.5703125" style="110"/>
    <col min="11024" max="11024" width="22" style="110" customWidth="1"/>
    <col min="11025" max="11264" width="12.5703125" style="110"/>
    <col min="11265" max="11265" width="44.28515625" style="110" customWidth="1"/>
    <col min="11266" max="11266" width="29.42578125" style="110" customWidth="1"/>
    <col min="11267" max="11267" width="15.7109375" style="110" customWidth="1"/>
    <col min="11268" max="11268" width="21.140625" style="110" customWidth="1"/>
    <col min="11269" max="11269" width="20.28515625" style="110" customWidth="1"/>
    <col min="11270" max="11270" width="19" style="110" customWidth="1"/>
    <col min="11271" max="11272" width="15.7109375" style="110" customWidth="1"/>
    <col min="11273" max="11273" width="76.140625" style="110" customWidth="1"/>
    <col min="11274" max="11274" width="44.140625" style="110" customWidth="1"/>
    <col min="11275" max="11275" width="64.28515625" style="110" customWidth="1"/>
    <col min="11276" max="11276" width="12.5703125" style="110"/>
    <col min="11277" max="11277" width="30.28515625" style="110" bestFit="1" customWidth="1"/>
    <col min="11278" max="11278" width="7.7109375" style="110" bestFit="1" customWidth="1"/>
    <col min="11279" max="11279" width="12.5703125" style="110"/>
    <col min="11280" max="11280" width="22" style="110" customWidth="1"/>
    <col min="11281" max="11520" width="12.5703125" style="110"/>
    <col min="11521" max="11521" width="44.28515625" style="110" customWidth="1"/>
    <col min="11522" max="11522" width="29.42578125" style="110" customWidth="1"/>
    <col min="11523" max="11523" width="15.7109375" style="110" customWidth="1"/>
    <col min="11524" max="11524" width="21.140625" style="110" customWidth="1"/>
    <col min="11525" max="11525" width="20.28515625" style="110" customWidth="1"/>
    <col min="11526" max="11526" width="19" style="110" customWidth="1"/>
    <col min="11527" max="11528" width="15.7109375" style="110" customWidth="1"/>
    <col min="11529" max="11529" width="76.140625" style="110" customWidth="1"/>
    <col min="11530" max="11530" width="44.140625" style="110" customWidth="1"/>
    <col min="11531" max="11531" width="64.28515625" style="110" customWidth="1"/>
    <col min="11532" max="11532" width="12.5703125" style="110"/>
    <col min="11533" max="11533" width="30.28515625" style="110" bestFit="1" customWidth="1"/>
    <col min="11534" max="11534" width="7.7109375" style="110" bestFit="1" customWidth="1"/>
    <col min="11535" max="11535" width="12.5703125" style="110"/>
    <col min="11536" max="11536" width="22" style="110" customWidth="1"/>
    <col min="11537" max="11776" width="12.5703125" style="110"/>
    <col min="11777" max="11777" width="44.28515625" style="110" customWidth="1"/>
    <col min="11778" max="11778" width="29.42578125" style="110" customWidth="1"/>
    <col min="11779" max="11779" width="15.7109375" style="110" customWidth="1"/>
    <col min="11780" max="11780" width="21.140625" style="110" customWidth="1"/>
    <col min="11781" max="11781" width="20.28515625" style="110" customWidth="1"/>
    <col min="11782" max="11782" width="19" style="110" customWidth="1"/>
    <col min="11783" max="11784" width="15.7109375" style="110" customWidth="1"/>
    <col min="11785" max="11785" width="76.140625" style="110" customWidth="1"/>
    <col min="11786" max="11786" width="44.140625" style="110" customWidth="1"/>
    <col min="11787" max="11787" width="64.28515625" style="110" customWidth="1"/>
    <col min="11788" max="11788" width="12.5703125" style="110"/>
    <col min="11789" max="11789" width="30.28515625" style="110" bestFit="1" customWidth="1"/>
    <col min="11790" max="11790" width="7.7109375" style="110" bestFit="1" customWidth="1"/>
    <col min="11791" max="11791" width="12.5703125" style="110"/>
    <col min="11792" max="11792" width="22" style="110" customWidth="1"/>
    <col min="11793" max="12032" width="12.5703125" style="110"/>
    <col min="12033" max="12033" width="44.28515625" style="110" customWidth="1"/>
    <col min="12034" max="12034" width="29.42578125" style="110" customWidth="1"/>
    <col min="12035" max="12035" width="15.7109375" style="110" customWidth="1"/>
    <col min="12036" max="12036" width="21.140625" style="110" customWidth="1"/>
    <col min="12037" max="12037" width="20.28515625" style="110" customWidth="1"/>
    <col min="12038" max="12038" width="19" style="110" customWidth="1"/>
    <col min="12039" max="12040" width="15.7109375" style="110" customWidth="1"/>
    <col min="12041" max="12041" width="76.140625" style="110" customWidth="1"/>
    <col min="12042" max="12042" width="44.140625" style="110" customWidth="1"/>
    <col min="12043" max="12043" width="64.28515625" style="110" customWidth="1"/>
    <col min="12044" max="12044" width="12.5703125" style="110"/>
    <col min="12045" max="12045" width="30.28515625" style="110" bestFit="1" customWidth="1"/>
    <col min="12046" max="12046" width="7.7109375" style="110" bestFit="1" customWidth="1"/>
    <col min="12047" max="12047" width="12.5703125" style="110"/>
    <col min="12048" max="12048" width="22" style="110" customWidth="1"/>
    <col min="12049" max="12288" width="12.5703125" style="110"/>
    <col min="12289" max="12289" width="44.28515625" style="110" customWidth="1"/>
    <col min="12290" max="12290" width="29.42578125" style="110" customWidth="1"/>
    <col min="12291" max="12291" width="15.7109375" style="110" customWidth="1"/>
    <col min="12292" max="12292" width="21.140625" style="110" customWidth="1"/>
    <col min="12293" max="12293" width="20.28515625" style="110" customWidth="1"/>
    <col min="12294" max="12294" width="19" style="110" customWidth="1"/>
    <col min="12295" max="12296" width="15.7109375" style="110" customWidth="1"/>
    <col min="12297" max="12297" width="76.140625" style="110" customWidth="1"/>
    <col min="12298" max="12298" width="44.140625" style="110" customWidth="1"/>
    <col min="12299" max="12299" width="64.28515625" style="110" customWidth="1"/>
    <col min="12300" max="12300" width="12.5703125" style="110"/>
    <col min="12301" max="12301" width="30.28515625" style="110" bestFit="1" customWidth="1"/>
    <col min="12302" max="12302" width="7.7109375" style="110" bestFit="1" customWidth="1"/>
    <col min="12303" max="12303" width="12.5703125" style="110"/>
    <col min="12304" max="12304" width="22" style="110" customWidth="1"/>
    <col min="12305" max="12544" width="12.5703125" style="110"/>
    <col min="12545" max="12545" width="44.28515625" style="110" customWidth="1"/>
    <col min="12546" max="12546" width="29.42578125" style="110" customWidth="1"/>
    <col min="12547" max="12547" width="15.7109375" style="110" customWidth="1"/>
    <col min="12548" max="12548" width="21.140625" style="110" customWidth="1"/>
    <col min="12549" max="12549" width="20.28515625" style="110" customWidth="1"/>
    <col min="12550" max="12550" width="19" style="110" customWidth="1"/>
    <col min="12551" max="12552" width="15.7109375" style="110" customWidth="1"/>
    <col min="12553" max="12553" width="76.140625" style="110" customWidth="1"/>
    <col min="12554" max="12554" width="44.140625" style="110" customWidth="1"/>
    <col min="12555" max="12555" width="64.28515625" style="110" customWidth="1"/>
    <col min="12556" max="12556" width="12.5703125" style="110"/>
    <col min="12557" max="12557" width="30.28515625" style="110" bestFit="1" customWidth="1"/>
    <col min="12558" max="12558" width="7.7109375" style="110" bestFit="1" customWidth="1"/>
    <col min="12559" max="12559" width="12.5703125" style="110"/>
    <col min="12560" max="12560" width="22" style="110" customWidth="1"/>
    <col min="12561" max="12800" width="12.5703125" style="110"/>
    <col min="12801" max="12801" width="44.28515625" style="110" customWidth="1"/>
    <col min="12802" max="12802" width="29.42578125" style="110" customWidth="1"/>
    <col min="12803" max="12803" width="15.7109375" style="110" customWidth="1"/>
    <col min="12804" max="12804" width="21.140625" style="110" customWidth="1"/>
    <col min="12805" max="12805" width="20.28515625" style="110" customWidth="1"/>
    <col min="12806" max="12806" width="19" style="110" customWidth="1"/>
    <col min="12807" max="12808" width="15.7109375" style="110" customWidth="1"/>
    <col min="12809" max="12809" width="76.140625" style="110" customWidth="1"/>
    <col min="12810" max="12810" width="44.140625" style="110" customWidth="1"/>
    <col min="12811" max="12811" width="64.28515625" style="110" customWidth="1"/>
    <col min="12812" max="12812" width="12.5703125" style="110"/>
    <col min="12813" max="12813" width="30.28515625" style="110" bestFit="1" customWidth="1"/>
    <col min="12814" max="12814" width="7.7109375" style="110" bestFit="1" customWidth="1"/>
    <col min="12815" max="12815" width="12.5703125" style="110"/>
    <col min="12816" max="12816" width="22" style="110" customWidth="1"/>
    <col min="12817" max="13056" width="12.5703125" style="110"/>
    <col min="13057" max="13057" width="44.28515625" style="110" customWidth="1"/>
    <col min="13058" max="13058" width="29.42578125" style="110" customWidth="1"/>
    <col min="13059" max="13059" width="15.7109375" style="110" customWidth="1"/>
    <col min="13060" max="13060" width="21.140625" style="110" customWidth="1"/>
    <col min="13061" max="13061" width="20.28515625" style="110" customWidth="1"/>
    <col min="13062" max="13062" width="19" style="110" customWidth="1"/>
    <col min="13063" max="13064" width="15.7109375" style="110" customWidth="1"/>
    <col min="13065" max="13065" width="76.140625" style="110" customWidth="1"/>
    <col min="13066" max="13066" width="44.140625" style="110" customWidth="1"/>
    <col min="13067" max="13067" width="64.28515625" style="110" customWidth="1"/>
    <col min="13068" max="13068" width="12.5703125" style="110"/>
    <col min="13069" max="13069" width="30.28515625" style="110" bestFit="1" customWidth="1"/>
    <col min="13070" max="13070" width="7.7109375" style="110" bestFit="1" customWidth="1"/>
    <col min="13071" max="13071" width="12.5703125" style="110"/>
    <col min="13072" max="13072" width="22" style="110" customWidth="1"/>
    <col min="13073" max="13312" width="12.5703125" style="110"/>
    <col min="13313" max="13313" width="44.28515625" style="110" customWidth="1"/>
    <col min="13314" max="13314" width="29.42578125" style="110" customWidth="1"/>
    <col min="13315" max="13315" width="15.7109375" style="110" customWidth="1"/>
    <col min="13316" max="13316" width="21.140625" style="110" customWidth="1"/>
    <col min="13317" max="13317" width="20.28515625" style="110" customWidth="1"/>
    <col min="13318" max="13318" width="19" style="110" customWidth="1"/>
    <col min="13319" max="13320" width="15.7109375" style="110" customWidth="1"/>
    <col min="13321" max="13321" width="76.140625" style="110" customWidth="1"/>
    <col min="13322" max="13322" width="44.140625" style="110" customWidth="1"/>
    <col min="13323" max="13323" width="64.28515625" style="110" customWidth="1"/>
    <col min="13324" max="13324" width="12.5703125" style="110"/>
    <col min="13325" max="13325" width="30.28515625" style="110" bestFit="1" customWidth="1"/>
    <col min="13326" max="13326" width="7.7109375" style="110" bestFit="1" customWidth="1"/>
    <col min="13327" max="13327" width="12.5703125" style="110"/>
    <col min="13328" max="13328" width="22" style="110" customWidth="1"/>
    <col min="13329" max="13568" width="12.5703125" style="110"/>
    <col min="13569" max="13569" width="44.28515625" style="110" customWidth="1"/>
    <col min="13570" max="13570" width="29.42578125" style="110" customWidth="1"/>
    <col min="13571" max="13571" width="15.7109375" style="110" customWidth="1"/>
    <col min="13572" max="13572" width="21.140625" style="110" customWidth="1"/>
    <col min="13573" max="13573" width="20.28515625" style="110" customWidth="1"/>
    <col min="13574" max="13574" width="19" style="110" customWidth="1"/>
    <col min="13575" max="13576" width="15.7109375" style="110" customWidth="1"/>
    <col min="13577" max="13577" width="76.140625" style="110" customWidth="1"/>
    <col min="13578" max="13578" width="44.140625" style="110" customWidth="1"/>
    <col min="13579" max="13579" width="64.28515625" style="110" customWidth="1"/>
    <col min="13580" max="13580" width="12.5703125" style="110"/>
    <col min="13581" max="13581" width="30.28515625" style="110" bestFit="1" customWidth="1"/>
    <col min="13582" max="13582" width="7.7109375" style="110" bestFit="1" customWidth="1"/>
    <col min="13583" max="13583" width="12.5703125" style="110"/>
    <col min="13584" max="13584" width="22" style="110" customWidth="1"/>
    <col min="13585" max="13824" width="12.5703125" style="110"/>
    <col min="13825" max="13825" width="44.28515625" style="110" customWidth="1"/>
    <col min="13826" max="13826" width="29.42578125" style="110" customWidth="1"/>
    <col min="13827" max="13827" width="15.7109375" style="110" customWidth="1"/>
    <col min="13828" max="13828" width="21.140625" style="110" customWidth="1"/>
    <col min="13829" max="13829" width="20.28515625" style="110" customWidth="1"/>
    <col min="13830" max="13830" width="19" style="110" customWidth="1"/>
    <col min="13831" max="13832" width="15.7109375" style="110" customWidth="1"/>
    <col min="13833" max="13833" width="76.140625" style="110" customWidth="1"/>
    <col min="13834" max="13834" width="44.140625" style="110" customWidth="1"/>
    <col min="13835" max="13835" width="64.28515625" style="110" customWidth="1"/>
    <col min="13836" max="13836" width="12.5703125" style="110"/>
    <col min="13837" max="13837" width="30.28515625" style="110" bestFit="1" customWidth="1"/>
    <col min="13838" max="13838" width="7.7109375" style="110" bestFit="1" customWidth="1"/>
    <col min="13839" max="13839" width="12.5703125" style="110"/>
    <col min="13840" max="13840" width="22" style="110" customWidth="1"/>
    <col min="13841" max="14080" width="12.5703125" style="110"/>
    <col min="14081" max="14081" width="44.28515625" style="110" customWidth="1"/>
    <col min="14082" max="14082" width="29.42578125" style="110" customWidth="1"/>
    <col min="14083" max="14083" width="15.7109375" style="110" customWidth="1"/>
    <col min="14084" max="14084" width="21.140625" style="110" customWidth="1"/>
    <col min="14085" max="14085" width="20.28515625" style="110" customWidth="1"/>
    <col min="14086" max="14086" width="19" style="110" customWidth="1"/>
    <col min="14087" max="14088" width="15.7109375" style="110" customWidth="1"/>
    <col min="14089" max="14089" width="76.140625" style="110" customWidth="1"/>
    <col min="14090" max="14090" width="44.140625" style="110" customWidth="1"/>
    <col min="14091" max="14091" width="64.28515625" style="110" customWidth="1"/>
    <col min="14092" max="14092" width="12.5703125" style="110"/>
    <col min="14093" max="14093" width="30.28515625" style="110" bestFit="1" customWidth="1"/>
    <col min="14094" max="14094" width="7.7109375" style="110" bestFit="1" customWidth="1"/>
    <col min="14095" max="14095" width="12.5703125" style="110"/>
    <col min="14096" max="14096" width="22" style="110" customWidth="1"/>
    <col min="14097" max="14336" width="12.5703125" style="110"/>
    <col min="14337" max="14337" width="44.28515625" style="110" customWidth="1"/>
    <col min="14338" max="14338" width="29.42578125" style="110" customWidth="1"/>
    <col min="14339" max="14339" width="15.7109375" style="110" customWidth="1"/>
    <col min="14340" max="14340" width="21.140625" style="110" customWidth="1"/>
    <col min="14341" max="14341" width="20.28515625" style="110" customWidth="1"/>
    <col min="14342" max="14342" width="19" style="110" customWidth="1"/>
    <col min="14343" max="14344" width="15.7109375" style="110" customWidth="1"/>
    <col min="14345" max="14345" width="76.140625" style="110" customWidth="1"/>
    <col min="14346" max="14346" width="44.140625" style="110" customWidth="1"/>
    <col min="14347" max="14347" width="64.28515625" style="110" customWidth="1"/>
    <col min="14348" max="14348" width="12.5703125" style="110"/>
    <col min="14349" max="14349" width="30.28515625" style="110" bestFit="1" customWidth="1"/>
    <col min="14350" max="14350" width="7.7109375" style="110" bestFit="1" customWidth="1"/>
    <col min="14351" max="14351" width="12.5703125" style="110"/>
    <col min="14352" max="14352" width="22" style="110" customWidth="1"/>
    <col min="14353" max="14592" width="12.5703125" style="110"/>
    <col min="14593" max="14593" width="44.28515625" style="110" customWidth="1"/>
    <col min="14594" max="14594" width="29.42578125" style="110" customWidth="1"/>
    <col min="14595" max="14595" width="15.7109375" style="110" customWidth="1"/>
    <col min="14596" max="14596" width="21.140625" style="110" customWidth="1"/>
    <col min="14597" max="14597" width="20.28515625" style="110" customWidth="1"/>
    <col min="14598" max="14598" width="19" style="110" customWidth="1"/>
    <col min="14599" max="14600" width="15.7109375" style="110" customWidth="1"/>
    <col min="14601" max="14601" width="76.140625" style="110" customWidth="1"/>
    <col min="14602" max="14602" width="44.140625" style="110" customWidth="1"/>
    <col min="14603" max="14603" width="64.28515625" style="110" customWidth="1"/>
    <col min="14604" max="14604" width="12.5703125" style="110"/>
    <col min="14605" max="14605" width="30.28515625" style="110" bestFit="1" customWidth="1"/>
    <col min="14606" max="14606" width="7.7109375" style="110" bestFit="1" customWidth="1"/>
    <col min="14607" max="14607" width="12.5703125" style="110"/>
    <col min="14608" max="14608" width="22" style="110" customWidth="1"/>
    <col min="14609" max="14848" width="12.5703125" style="110"/>
    <col min="14849" max="14849" width="44.28515625" style="110" customWidth="1"/>
    <col min="14850" max="14850" width="29.42578125" style="110" customWidth="1"/>
    <col min="14851" max="14851" width="15.7109375" style="110" customWidth="1"/>
    <col min="14852" max="14852" width="21.140625" style="110" customWidth="1"/>
    <col min="14853" max="14853" width="20.28515625" style="110" customWidth="1"/>
    <col min="14854" max="14854" width="19" style="110" customWidth="1"/>
    <col min="14855" max="14856" width="15.7109375" style="110" customWidth="1"/>
    <col min="14857" max="14857" width="76.140625" style="110" customWidth="1"/>
    <col min="14858" max="14858" width="44.140625" style="110" customWidth="1"/>
    <col min="14859" max="14859" width="64.28515625" style="110" customWidth="1"/>
    <col min="14860" max="14860" width="12.5703125" style="110"/>
    <col min="14861" max="14861" width="30.28515625" style="110" bestFit="1" customWidth="1"/>
    <col min="14862" max="14862" width="7.7109375" style="110" bestFit="1" customWidth="1"/>
    <col min="14863" max="14863" width="12.5703125" style="110"/>
    <col min="14864" max="14864" width="22" style="110" customWidth="1"/>
    <col min="14865" max="15104" width="12.5703125" style="110"/>
    <col min="15105" max="15105" width="44.28515625" style="110" customWidth="1"/>
    <col min="15106" max="15106" width="29.42578125" style="110" customWidth="1"/>
    <col min="15107" max="15107" width="15.7109375" style="110" customWidth="1"/>
    <col min="15108" max="15108" width="21.140625" style="110" customWidth="1"/>
    <col min="15109" max="15109" width="20.28515625" style="110" customWidth="1"/>
    <col min="15110" max="15110" width="19" style="110" customWidth="1"/>
    <col min="15111" max="15112" width="15.7109375" style="110" customWidth="1"/>
    <col min="15113" max="15113" width="76.140625" style="110" customWidth="1"/>
    <col min="15114" max="15114" width="44.140625" style="110" customWidth="1"/>
    <col min="15115" max="15115" width="64.28515625" style="110" customWidth="1"/>
    <col min="15116" max="15116" width="12.5703125" style="110"/>
    <col min="15117" max="15117" width="30.28515625" style="110" bestFit="1" customWidth="1"/>
    <col min="15118" max="15118" width="7.7109375" style="110" bestFit="1" customWidth="1"/>
    <col min="15119" max="15119" width="12.5703125" style="110"/>
    <col min="15120" max="15120" width="22" style="110" customWidth="1"/>
    <col min="15121" max="15360" width="12.5703125" style="110"/>
    <col min="15361" max="15361" width="44.28515625" style="110" customWidth="1"/>
    <col min="15362" max="15362" width="29.42578125" style="110" customWidth="1"/>
    <col min="15363" max="15363" width="15.7109375" style="110" customWidth="1"/>
    <col min="15364" max="15364" width="21.140625" style="110" customWidth="1"/>
    <col min="15365" max="15365" width="20.28515625" style="110" customWidth="1"/>
    <col min="15366" max="15366" width="19" style="110" customWidth="1"/>
    <col min="15367" max="15368" width="15.7109375" style="110" customWidth="1"/>
    <col min="15369" max="15369" width="76.140625" style="110" customWidth="1"/>
    <col min="15370" max="15370" width="44.140625" style="110" customWidth="1"/>
    <col min="15371" max="15371" width="64.28515625" style="110" customWidth="1"/>
    <col min="15372" max="15372" width="12.5703125" style="110"/>
    <col min="15373" max="15373" width="30.28515625" style="110" bestFit="1" customWidth="1"/>
    <col min="15374" max="15374" width="7.7109375" style="110" bestFit="1" customWidth="1"/>
    <col min="15375" max="15375" width="12.5703125" style="110"/>
    <col min="15376" max="15376" width="22" style="110" customWidth="1"/>
    <col min="15377" max="15616" width="12.5703125" style="110"/>
    <col min="15617" max="15617" width="44.28515625" style="110" customWidth="1"/>
    <col min="15618" max="15618" width="29.42578125" style="110" customWidth="1"/>
    <col min="15619" max="15619" width="15.7109375" style="110" customWidth="1"/>
    <col min="15620" max="15620" width="21.140625" style="110" customWidth="1"/>
    <col min="15621" max="15621" width="20.28515625" style="110" customWidth="1"/>
    <col min="15622" max="15622" width="19" style="110" customWidth="1"/>
    <col min="15623" max="15624" width="15.7109375" style="110" customWidth="1"/>
    <col min="15625" max="15625" width="76.140625" style="110" customWidth="1"/>
    <col min="15626" max="15626" width="44.140625" style="110" customWidth="1"/>
    <col min="15627" max="15627" width="64.28515625" style="110" customWidth="1"/>
    <col min="15628" max="15628" width="12.5703125" style="110"/>
    <col min="15629" max="15629" width="30.28515625" style="110" bestFit="1" customWidth="1"/>
    <col min="15630" max="15630" width="7.7109375" style="110" bestFit="1" customWidth="1"/>
    <col min="15631" max="15631" width="12.5703125" style="110"/>
    <col min="15632" max="15632" width="22" style="110" customWidth="1"/>
    <col min="15633" max="15872" width="12.5703125" style="110"/>
    <col min="15873" max="15873" width="44.28515625" style="110" customWidth="1"/>
    <col min="15874" max="15874" width="29.42578125" style="110" customWidth="1"/>
    <col min="15875" max="15875" width="15.7109375" style="110" customWidth="1"/>
    <col min="15876" max="15876" width="21.140625" style="110" customWidth="1"/>
    <col min="15877" max="15877" width="20.28515625" style="110" customWidth="1"/>
    <col min="15878" max="15878" width="19" style="110" customWidth="1"/>
    <col min="15879" max="15880" width="15.7109375" style="110" customWidth="1"/>
    <col min="15881" max="15881" width="76.140625" style="110" customWidth="1"/>
    <col min="15882" max="15882" width="44.140625" style="110" customWidth="1"/>
    <col min="15883" max="15883" width="64.28515625" style="110" customWidth="1"/>
    <col min="15884" max="15884" width="12.5703125" style="110"/>
    <col min="15885" max="15885" width="30.28515625" style="110" bestFit="1" customWidth="1"/>
    <col min="15886" max="15886" width="7.7109375" style="110" bestFit="1" customWidth="1"/>
    <col min="15887" max="15887" width="12.5703125" style="110"/>
    <col min="15888" max="15888" width="22" style="110" customWidth="1"/>
    <col min="15889" max="16128" width="12.5703125" style="110"/>
    <col min="16129" max="16129" width="44.28515625" style="110" customWidth="1"/>
    <col min="16130" max="16130" width="29.42578125" style="110" customWidth="1"/>
    <col min="16131" max="16131" width="15.7109375" style="110" customWidth="1"/>
    <col min="16132" max="16132" width="21.140625" style="110" customWidth="1"/>
    <col min="16133" max="16133" width="20.28515625" style="110" customWidth="1"/>
    <col min="16134" max="16134" width="19" style="110" customWidth="1"/>
    <col min="16135" max="16136" width="15.7109375" style="110" customWidth="1"/>
    <col min="16137" max="16137" width="76.140625" style="110" customWidth="1"/>
    <col min="16138" max="16138" width="44.140625" style="110" customWidth="1"/>
    <col min="16139" max="16139" width="64.28515625" style="110" customWidth="1"/>
    <col min="16140" max="16140" width="12.5703125" style="110"/>
    <col min="16141" max="16141" width="30.28515625" style="110" bestFit="1" customWidth="1"/>
    <col min="16142" max="16142" width="7.7109375" style="110" bestFit="1" customWidth="1"/>
    <col min="16143" max="16143" width="12.5703125" style="110"/>
    <col min="16144" max="16144" width="22" style="110" customWidth="1"/>
    <col min="16145" max="16384" width="12.5703125" style="110"/>
  </cols>
  <sheetData>
    <row r="1" spans="1:9" s="81" customFormat="1" ht="16.5" thickBot="1"/>
    <row r="2" spans="1:9" s="81" customFormat="1" ht="16.5" thickTop="1">
      <c r="B2" s="82" t="s">
        <v>51</v>
      </c>
      <c r="C2" s="83" t="s">
        <v>52</v>
      </c>
      <c r="D2" s="83"/>
      <c r="E2" s="83"/>
      <c r="F2" s="84"/>
    </row>
    <row r="3" spans="1:9" s="81" customFormat="1">
      <c r="B3" s="85" t="s">
        <v>53</v>
      </c>
      <c r="C3" s="86" t="s">
        <v>54</v>
      </c>
      <c r="D3" s="86" t="s">
        <v>55</v>
      </c>
      <c r="E3" s="86" t="s">
        <v>56</v>
      </c>
      <c r="F3" s="87" t="s">
        <v>57</v>
      </c>
    </row>
    <row r="4" spans="1:9" s="81" customFormat="1" ht="16.5" thickBot="1">
      <c r="B4" s="88"/>
      <c r="C4" s="89">
        <f>COUNTIF($F$12:$F$505,C3)/COUNTIF($F$12:$F$505,"*")</f>
        <v>0.36363636363636365</v>
      </c>
      <c r="D4" s="89">
        <f>COUNTIF($F$12:$F$505,D3)/COUNTIF($F$12:$F$505,"*")</f>
        <v>0.18181818181818182</v>
      </c>
      <c r="E4" s="89">
        <f>COUNTIF($F$12:$F$505,E3)/COUNTIF($F$12:$F$505,"*")</f>
        <v>0.36363636363636365</v>
      </c>
      <c r="F4" s="90">
        <f>COUNTIF($F$12:$F$505,F3)/COUNTIF($F$12:$F$505,"*")</f>
        <v>9.0909090909090912E-2</v>
      </c>
    </row>
    <row r="5" spans="1:9" s="81" customFormat="1" ht="17.25" thickTop="1" thickBot="1">
      <c r="B5" s="91"/>
      <c r="C5" s="92"/>
      <c r="D5" s="92"/>
      <c r="E5" s="92"/>
      <c r="F5" s="92"/>
      <c r="H5" s="93"/>
      <c r="I5" s="93"/>
    </row>
    <row r="6" spans="1:9" s="81" customFormat="1" ht="17.25" thickTop="1" thickBot="1">
      <c r="B6" s="91"/>
      <c r="C6" s="94" t="s">
        <v>58</v>
      </c>
      <c r="D6" s="111">
        <f>C8-D8</f>
        <v>0</v>
      </c>
      <c r="E6" s="92"/>
      <c r="F6" s="92"/>
      <c r="H6" s="93"/>
      <c r="I6" s="93"/>
    </row>
    <row r="7" spans="1:9" s="81" customFormat="1" ht="16.5" thickTop="1">
      <c r="B7" s="91"/>
      <c r="C7" s="95" t="s">
        <v>59</v>
      </c>
      <c r="D7" s="87" t="s">
        <v>60</v>
      </c>
      <c r="E7" s="92"/>
      <c r="F7" s="92"/>
      <c r="H7" s="93"/>
      <c r="I7" s="93"/>
    </row>
    <row r="8" spans="1:9" s="81" customFormat="1" ht="16.5" thickBot="1">
      <c r="B8" s="91"/>
      <c r="C8" s="114">
        <f>SUM($G$11:$G$505)</f>
        <v>0</v>
      </c>
      <c r="D8" s="113">
        <f>SUM($H$11:$H$505)</f>
        <v>0</v>
      </c>
      <c r="E8" s="92"/>
      <c r="F8" s="92"/>
      <c r="H8" s="93"/>
      <c r="I8" s="93"/>
    </row>
    <row r="9" spans="1:9" s="81" customFormat="1" ht="16.5" thickTop="1">
      <c r="A9" s="96"/>
    </row>
    <row r="10" spans="1:9" s="81" customFormat="1" ht="37.9" customHeight="1">
      <c r="A10" s="97" t="s">
        <v>61</v>
      </c>
      <c r="B10" s="97" t="s">
        <v>62</v>
      </c>
      <c r="C10" s="97" t="s">
        <v>63</v>
      </c>
      <c r="D10" s="97" t="s">
        <v>64</v>
      </c>
      <c r="E10" s="97" t="s">
        <v>65</v>
      </c>
      <c r="F10" s="98" t="s">
        <v>66</v>
      </c>
      <c r="G10" s="99" t="s">
        <v>67</v>
      </c>
      <c r="H10" s="99" t="s">
        <v>68</v>
      </c>
      <c r="I10" s="97" t="s">
        <v>69</v>
      </c>
    </row>
    <row r="11" spans="1:9" s="81" customFormat="1" ht="21.75" thickBot="1">
      <c r="A11" s="117" t="s">
        <v>71</v>
      </c>
      <c r="B11" s="115"/>
      <c r="C11" s="115"/>
      <c r="D11" s="115"/>
      <c r="E11" s="115" t="str">
        <f>IF(C11="","",IF(D11="","",D11-C11))</f>
        <v/>
      </c>
      <c r="F11" s="115"/>
      <c r="G11" s="115"/>
      <c r="H11" s="115"/>
      <c r="I11" s="115"/>
    </row>
    <row r="12" spans="1:9" s="81" customFormat="1" ht="16.5" thickTop="1">
      <c r="A12" s="116" t="s">
        <v>74</v>
      </c>
      <c r="B12" s="100"/>
      <c r="C12" s="101">
        <v>44228</v>
      </c>
      <c r="D12" s="101">
        <v>44228</v>
      </c>
      <c r="E12" s="102">
        <f>IF(C12="","",IF(D12="","",D12-C12))</f>
        <v>0</v>
      </c>
      <c r="F12" s="103" t="s">
        <v>56</v>
      </c>
      <c r="G12" s="112"/>
      <c r="H12" s="112"/>
      <c r="I12" s="104"/>
    </row>
    <row r="13" spans="1:9" s="81" customFormat="1">
      <c r="A13" s="118" t="s">
        <v>75</v>
      </c>
      <c r="B13" s="106"/>
      <c r="C13" s="107">
        <v>44229</v>
      </c>
      <c r="D13" s="107">
        <v>44230</v>
      </c>
      <c r="E13" s="108">
        <f>IF(C13="","",IF(D13="","",D13-C13))</f>
        <v>1</v>
      </c>
      <c r="F13" s="104" t="s">
        <v>56</v>
      </c>
      <c r="G13" s="112"/>
      <c r="H13" s="112"/>
      <c r="I13" s="104"/>
    </row>
    <row r="14" spans="1:9" s="81" customFormat="1">
      <c r="A14" s="118"/>
      <c r="B14" s="106"/>
      <c r="C14" s="107">
        <v>44230</v>
      </c>
      <c r="D14" s="107">
        <v>44234</v>
      </c>
      <c r="E14" s="108">
        <f t="shared" ref="E14:E77" si="0">IF(C14="","",IF(D14="","",D14-C14))</f>
        <v>4</v>
      </c>
      <c r="F14" s="104" t="s">
        <v>57</v>
      </c>
      <c r="G14" s="112"/>
      <c r="H14" s="112"/>
      <c r="I14" s="104"/>
    </row>
    <row r="15" spans="1:9" s="81" customFormat="1">
      <c r="A15" s="118"/>
      <c r="B15" s="106"/>
      <c r="C15" s="107">
        <v>42404</v>
      </c>
      <c r="D15" s="107">
        <v>42410</v>
      </c>
      <c r="E15" s="108">
        <f>IF(C15="","",IF(D15="","",D15-C15))</f>
        <v>6</v>
      </c>
      <c r="F15" s="109" t="s">
        <v>55</v>
      </c>
      <c r="G15" s="112"/>
      <c r="H15" s="112"/>
      <c r="I15" s="109"/>
    </row>
    <row r="16" spans="1:9" s="81" customFormat="1">
      <c r="A16" s="118"/>
      <c r="B16" s="106"/>
      <c r="C16" s="107">
        <v>44238</v>
      </c>
      <c r="D16" s="107">
        <v>44241</v>
      </c>
      <c r="E16" s="108">
        <f t="shared" si="0"/>
        <v>3</v>
      </c>
      <c r="F16" s="109" t="s">
        <v>54</v>
      </c>
      <c r="G16" s="112"/>
      <c r="H16" s="112"/>
      <c r="I16" s="109"/>
    </row>
    <row r="17" spans="1:9" s="81" customFormat="1">
      <c r="A17" s="118"/>
      <c r="B17" s="106"/>
      <c r="C17" s="107">
        <v>42403</v>
      </c>
      <c r="D17" s="107">
        <v>42414</v>
      </c>
      <c r="E17" s="108">
        <f t="shared" si="0"/>
        <v>11</v>
      </c>
      <c r="F17" s="109" t="s">
        <v>56</v>
      </c>
      <c r="G17" s="112"/>
      <c r="H17" s="112"/>
      <c r="I17" s="109"/>
    </row>
    <row r="18" spans="1:9" s="81" customFormat="1">
      <c r="A18" s="118"/>
      <c r="B18" s="106"/>
      <c r="C18" s="107">
        <v>42403</v>
      </c>
      <c r="D18" s="107">
        <v>42421</v>
      </c>
      <c r="E18" s="108">
        <f t="shared" si="0"/>
        <v>18</v>
      </c>
      <c r="F18" s="109" t="s">
        <v>55</v>
      </c>
      <c r="G18" s="112"/>
      <c r="H18" s="112"/>
      <c r="I18" s="109"/>
    </row>
    <row r="19" spans="1:9" s="81" customFormat="1">
      <c r="A19" s="118"/>
      <c r="B19" s="106"/>
      <c r="C19" s="107">
        <v>42421</v>
      </c>
      <c r="D19" s="107">
        <v>42428</v>
      </c>
      <c r="E19" s="108">
        <f t="shared" si="0"/>
        <v>7</v>
      </c>
      <c r="F19" s="109" t="s">
        <v>70</v>
      </c>
      <c r="G19" s="112"/>
      <c r="H19" s="112"/>
      <c r="I19" s="109"/>
    </row>
    <row r="20" spans="1:9" s="81" customFormat="1">
      <c r="A20" s="118"/>
      <c r="B20" s="106"/>
      <c r="C20" s="107">
        <v>42430</v>
      </c>
      <c r="D20" s="107">
        <v>42430</v>
      </c>
      <c r="E20" s="108">
        <f t="shared" si="0"/>
        <v>0</v>
      </c>
      <c r="F20" s="109" t="s">
        <v>70</v>
      </c>
      <c r="G20" s="112"/>
      <c r="H20" s="112"/>
      <c r="I20" s="109"/>
    </row>
    <row r="21" spans="1:9" s="81" customFormat="1">
      <c r="A21" s="118"/>
      <c r="B21" s="106"/>
      <c r="C21" s="107">
        <v>42403</v>
      </c>
      <c r="D21" s="107">
        <v>42428</v>
      </c>
      <c r="E21" s="108">
        <f t="shared" si="0"/>
        <v>25</v>
      </c>
      <c r="F21" s="109" t="s">
        <v>56</v>
      </c>
      <c r="G21" s="112"/>
      <c r="H21" s="112"/>
      <c r="I21" s="109"/>
    </row>
    <row r="22" spans="1:9" s="81" customFormat="1">
      <c r="A22" s="118"/>
      <c r="B22" s="106"/>
      <c r="C22" s="107">
        <v>42436</v>
      </c>
      <c r="D22" s="107">
        <v>42439</v>
      </c>
      <c r="E22" s="108">
        <f t="shared" si="0"/>
        <v>3</v>
      </c>
      <c r="F22" s="109" t="s">
        <v>70</v>
      </c>
      <c r="G22" s="112"/>
      <c r="H22" s="112"/>
      <c r="I22" s="109"/>
    </row>
    <row r="23" spans="1:9" s="81" customFormat="1" ht="21">
      <c r="A23" s="117" t="s">
        <v>73</v>
      </c>
      <c r="B23" s="115"/>
      <c r="C23" s="115"/>
      <c r="D23" s="115"/>
      <c r="E23" s="115" t="s">
        <v>72</v>
      </c>
      <c r="F23" s="115"/>
      <c r="G23" s="115"/>
      <c r="H23" s="115"/>
      <c r="I23" s="115"/>
    </row>
    <row r="24" spans="1:9" s="81" customFormat="1">
      <c r="A24" s="118"/>
      <c r="B24" s="106"/>
      <c r="C24" s="107"/>
      <c r="D24" s="107"/>
      <c r="E24" s="108" t="str">
        <f t="shared" si="0"/>
        <v/>
      </c>
      <c r="F24" s="109"/>
      <c r="G24" s="112"/>
      <c r="H24" s="112"/>
      <c r="I24" s="109"/>
    </row>
    <row r="25" spans="1:9" s="81" customFormat="1">
      <c r="A25" s="118"/>
      <c r="B25" s="106"/>
      <c r="C25" s="107"/>
      <c r="D25" s="107"/>
      <c r="E25" s="108" t="str">
        <f t="shared" si="0"/>
        <v/>
      </c>
      <c r="F25" s="109"/>
      <c r="G25" s="112"/>
      <c r="H25" s="112"/>
      <c r="I25" s="109"/>
    </row>
    <row r="26" spans="1:9" s="81" customFormat="1">
      <c r="A26" s="118"/>
      <c r="B26" s="106"/>
      <c r="C26" s="107"/>
      <c r="D26" s="107"/>
      <c r="E26" s="108" t="str">
        <f t="shared" si="0"/>
        <v/>
      </c>
      <c r="F26" s="109"/>
      <c r="G26" s="112"/>
      <c r="H26" s="112"/>
      <c r="I26" s="109"/>
    </row>
    <row r="27" spans="1:9" s="81" customFormat="1">
      <c r="A27" s="118"/>
      <c r="B27" s="106"/>
      <c r="C27" s="107"/>
      <c r="D27" s="107"/>
      <c r="E27" s="108" t="str">
        <f t="shared" si="0"/>
        <v/>
      </c>
      <c r="F27" s="109"/>
      <c r="G27" s="112"/>
      <c r="H27" s="112"/>
      <c r="I27" s="109"/>
    </row>
    <row r="28" spans="1:9" s="81" customFormat="1">
      <c r="A28" s="118"/>
      <c r="B28" s="106"/>
      <c r="C28" s="107"/>
      <c r="D28" s="107"/>
      <c r="E28" s="108" t="str">
        <f t="shared" si="0"/>
        <v/>
      </c>
      <c r="F28" s="109"/>
      <c r="G28" s="112"/>
      <c r="H28" s="112"/>
      <c r="I28" s="109"/>
    </row>
    <row r="29" spans="1:9" s="81" customFormat="1" ht="21">
      <c r="A29" s="117" t="s">
        <v>76</v>
      </c>
      <c r="B29" s="115"/>
      <c r="C29" s="115"/>
      <c r="D29" s="115"/>
      <c r="E29" s="115" t="s">
        <v>72</v>
      </c>
      <c r="F29" s="115"/>
      <c r="G29" s="115"/>
      <c r="H29" s="115"/>
      <c r="I29" s="115"/>
    </row>
    <row r="30" spans="1:9" s="81" customFormat="1">
      <c r="A30" s="118"/>
      <c r="B30" s="106"/>
      <c r="C30" s="107"/>
      <c r="D30" s="107"/>
      <c r="E30" s="108" t="str">
        <f t="shared" si="0"/>
        <v/>
      </c>
      <c r="F30" s="109"/>
      <c r="G30" s="112"/>
      <c r="H30" s="112"/>
      <c r="I30" s="109"/>
    </row>
    <row r="31" spans="1:9" s="81" customFormat="1">
      <c r="A31" s="118"/>
      <c r="B31" s="106"/>
      <c r="C31" s="107"/>
      <c r="D31" s="107"/>
      <c r="E31" s="108" t="str">
        <f t="shared" si="0"/>
        <v/>
      </c>
      <c r="F31" s="109"/>
      <c r="G31" s="112"/>
      <c r="H31" s="112"/>
      <c r="I31" s="109"/>
    </row>
    <row r="32" spans="1:9" s="81" customFormat="1">
      <c r="A32" s="118"/>
      <c r="B32" s="106"/>
      <c r="C32" s="107"/>
      <c r="D32" s="107"/>
      <c r="E32" s="108" t="str">
        <f t="shared" si="0"/>
        <v/>
      </c>
      <c r="F32" s="109"/>
      <c r="G32" s="112"/>
      <c r="H32" s="112"/>
      <c r="I32" s="109"/>
    </row>
    <row r="33" spans="1:9" s="81" customFormat="1">
      <c r="A33" s="118"/>
      <c r="B33" s="106"/>
      <c r="C33" s="107"/>
      <c r="D33" s="107"/>
      <c r="E33" s="108" t="str">
        <f t="shared" si="0"/>
        <v/>
      </c>
      <c r="F33" s="109"/>
      <c r="G33" s="112"/>
      <c r="H33" s="112"/>
      <c r="I33" s="109"/>
    </row>
    <row r="34" spans="1:9" s="81" customFormat="1">
      <c r="A34" s="118"/>
      <c r="B34" s="106"/>
      <c r="C34" s="107"/>
      <c r="D34" s="107"/>
      <c r="E34" s="108" t="str">
        <f t="shared" si="0"/>
        <v/>
      </c>
      <c r="F34" s="109"/>
      <c r="G34" s="112"/>
      <c r="H34" s="112"/>
      <c r="I34" s="109"/>
    </row>
    <row r="35" spans="1:9" s="81" customFormat="1">
      <c r="A35" s="118"/>
      <c r="B35" s="106"/>
      <c r="C35" s="107"/>
      <c r="D35" s="107"/>
      <c r="E35" s="108" t="str">
        <f t="shared" si="0"/>
        <v/>
      </c>
      <c r="F35" s="109"/>
      <c r="G35" s="112"/>
      <c r="H35" s="112"/>
      <c r="I35" s="109"/>
    </row>
    <row r="36" spans="1:9" s="81" customFormat="1" ht="21">
      <c r="A36" s="117" t="s">
        <v>73</v>
      </c>
      <c r="B36" s="115"/>
      <c r="C36" s="115"/>
      <c r="D36" s="115"/>
      <c r="E36" s="115" t="s">
        <v>72</v>
      </c>
      <c r="F36" s="115"/>
      <c r="G36" s="115"/>
      <c r="H36" s="115"/>
      <c r="I36" s="115"/>
    </row>
    <row r="37" spans="1:9" s="81" customFormat="1">
      <c r="A37" s="118"/>
      <c r="B37" s="106"/>
      <c r="C37" s="107"/>
      <c r="D37" s="107"/>
      <c r="E37" s="108" t="str">
        <f t="shared" si="0"/>
        <v/>
      </c>
      <c r="F37" s="109"/>
      <c r="G37" s="112"/>
      <c r="H37" s="112"/>
      <c r="I37" s="109"/>
    </row>
    <row r="38" spans="1:9" s="81" customFormat="1">
      <c r="A38" s="118"/>
      <c r="B38" s="106"/>
      <c r="C38" s="107"/>
      <c r="D38" s="107"/>
      <c r="E38" s="108" t="str">
        <f t="shared" si="0"/>
        <v/>
      </c>
      <c r="F38" s="109"/>
      <c r="G38" s="112"/>
      <c r="H38" s="112"/>
      <c r="I38" s="109"/>
    </row>
    <row r="39" spans="1:9" s="81" customFormat="1">
      <c r="A39" s="118"/>
      <c r="B39" s="106"/>
      <c r="C39" s="107"/>
      <c r="D39" s="107"/>
      <c r="E39" s="108" t="str">
        <f t="shared" si="0"/>
        <v/>
      </c>
      <c r="F39" s="109"/>
      <c r="G39" s="112"/>
      <c r="H39" s="112"/>
      <c r="I39" s="109"/>
    </row>
    <row r="40" spans="1:9" s="81" customFormat="1">
      <c r="A40" s="118"/>
      <c r="B40" s="106"/>
      <c r="C40" s="107"/>
      <c r="D40" s="107"/>
      <c r="E40" s="108" t="str">
        <f t="shared" si="0"/>
        <v/>
      </c>
      <c r="F40" s="109"/>
      <c r="G40" s="112"/>
      <c r="H40" s="112"/>
      <c r="I40" s="109"/>
    </row>
    <row r="41" spans="1:9" s="81" customFormat="1">
      <c r="A41" s="118"/>
      <c r="B41" s="106"/>
      <c r="C41" s="107"/>
      <c r="D41" s="107"/>
      <c r="E41" s="108" t="str">
        <f t="shared" si="0"/>
        <v/>
      </c>
      <c r="F41" s="109"/>
      <c r="G41" s="112"/>
      <c r="H41" s="112"/>
      <c r="I41" s="109"/>
    </row>
    <row r="42" spans="1:9" s="81" customFormat="1">
      <c r="A42" s="118"/>
      <c r="B42" s="106"/>
      <c r="C42" s="107"/>
      <c r="D42" s="107"/>
      <c r="E42" s="108" t="str">
        <f t="shared" si="0"/>
        <v/>
      </c>
      <c r="F42" s="109"/>
      <c r="G42" s="112"/>
      <c r="H42" s="112"/>
      <c r="I42" s="109"/>
    </row>
    <row r="43" spans="1:9" s="81" customFormat="1">
      <c r="A43" s="118"/>
      <c r="B43" s="106"/>
      <c r="C43" s="107"/>
      <c r="D43" s="107"/>
      <c r="E43" s="108" t="str">
        <f t="shared" si="0"/>
        <v/>
      </c>
      <c r="F43" s="109"/>
      <c r="G43" s="112"/>
      <c r="H43" s="112"/>
      <c r="I43" s="109"/>
    </row>
    <row r="44" spans="1:9" s="81" customFormat="1">
      <c r="A44" s="118"/>
      <c r="B44" s="106"/>
      <c r="C44" s="107"/>
      <c r="D44" s="107"/>
      <c r="E44" s="108" t="str">
        <f t="shared" si="0"/>
        <v/>
      </c>
      <c r="F44" s="109"/>
      <c r="G44" s="112"/>
      <c r="H44" s="112"/>
      <c r="I44" s="109"/>
    </row>
    <row r="45" spans="1:9" s="81" customFormat="1">
      <c r="A45" s="118"/>
      <c r="B45" s="106"/>
      <c r="C45" s="107"/>
      <c r="D45" s="107"/>
      <c r="E45" s="108" t="str">
        <f t="shared" si="0"/>
        <v/>
      </c>
      <c r="F45" s="109"/>
      <c r="G45" s="112"/>
      <c r="H45" s="112"/>
      <c r="I45" s="109"/>
    </row>
    <row r="46" spans="1:9" s="81" customFormat="1">
      <c r="A46" s="118"/>
      <c r="B46" s="106"/>
      <c r="C46" s="107"/>
      <c r="D46" s="107"/>
      <c r="E46" s="108" t="str">
        <f t="shared" si="0"/>
        <v/>
      </c>
      <c r="F46" s="109"/>
      <c r="G46" s="112"/>
      <c r="H46" s="112"/>
      <c r="I46" s="109"/>
    </row>
    <row r="47" spans="1:9" s="81" customFormat="1">
      <c r="A47" s="118"/>
      <c r="B47" s="106"/>
      <c r="C47" s="107"/>
      <c r="D47" s="107"/>
      <c r="E47" s="108" t="str">
        <f t="shared" si="0"/>
        <v/>
      </c>
      <c r="F47" s="109"/>
      <c r="G47" s="112"/>
      <c r="H47" s="112"/>
      <c r="I47" s="109"/>
    </row>
    <row r="48" spans="1:9" s="81" customFormat="1">
      <c r="A48" s="118"/>
      <c r="B48" s="106"/>
      <c r="C48" s="107"/>
      <c r="D48" s="107"/>
      <c r="E48" s="108" t="str">
        <f t="shared" si="0"/>
        <v/>
      </c>
      <c r="F48" s="109"/>
      <c r="G48" s="112"/>
      <c r="H48" s="112"/>
      <c r="I48" s="109"/>
    </row>
    <row r="49" spans="1:9" s="81" customFormat="1">
      <c r="A49" s="118"/>
      <c r="B49" s="106"/>
      <c r="C49" s="107"/>
      <c r="D49" s="107"/>
      <c r="E49" s="108" t="str">
        <f t="shared" si="0"/>
        <v/>
      </c>
      <c r="F49" s="109"/>
      <c r="G49" s="112"/>
      <c r="H49" s="112"/>
      <c r="I49" s="109"/>
    </row>
    <row r="50" spans="1:9" s="81" customFormat="1">
      <c r="A50" s="118"/>
      <c r="B50" s="106"/>
      <c r="C50" s="107"/>
      <c r="D50" s="107"/>
      <c r="E50" s="108" t="str">
        <f t="shared" si="0"/>
        <v/>
      </c>
      <c r="F50" s="109"/>
      <c r="G50" s="112"/>
      <c r="H50" s="112"/>
      <c r="I50" s="109"/>
    </row>
    <row r="51" spans="1:9" s="81" customFormat="1">
      <c r="A51" s="118"/>
      <c r="B51" s="106"/>
      <c r="C51" s="107"/>
      <c r="D51" s="107"/>
      <c r="E51" s="108" t="str">
        <f t="shared" si="0"/>
        <v/>
      </c>
      <c r="F51" s="109"/>
      <c r="G51" s="112"/>
      <c r="H51" s="112"/>
      <c r="I51" s="109"/>
    </row>
    <row r="52" spans="1:9" s="81" customFormat="1">
      <c r="A52" s="118"/>
      <c r="B52" s="106"/>
      <c r="C52" s="107"/>
      <c r="D52" s="107"/>
      <c r="E52" s="108" t="str">
        <f t="shared" si="0"/>
        <v/>
      </c>
      <c r="F52" s="109"/>
      <c r="G52" s="112"/>
      <c r="H52" s="112"/>
      <c r="I52" s="109"/>
    </row>
    <row r="53" spans="1:9" s="81" customFormat="1">
      <c r="A53" s="118"/>
      <c r="B53" s="106"/>
      <c r="C53" s="107"/>
      <c r="D53" s="107"/>
      <c r="E53" s="108" t="str">
        <f t="shared" si="0"/>
        <v/>
      </c>
      <c r="F53" s="109"/>
      <c r="G53" s="112"/>
      <c r="H53" s="112"/>
      <c r="I53" s="109"/>
    </row>
    <row r="54" spans="1:9" s="81" customFormat="1">
      <c r="A54" s="118"/>
      <c r="B54" s="106"/>
      <c r="C54" s="107"/>
      <c r="D54" s="107"/>
      <c r="E54" s="108" t="str">
        <f t="shared" si="0"/>
        <v/>
      </c>
      <c r="F54" s="109"/>
      <c r="G54" s="112"/>
      <c r="H54" s="112"/>
      <c r="I54" s="109"/>
    </row>
    <row r="55" spans="1:9" s="81" customFormat="1">
      <c r="A55" s="118"/>
      <c r="B55" s="106"/>
      <c r="C55" s="107"/>
      <c r="D55" s="107"/>
      <c r="E55" s="108" t="str">
        <f t="shared" si="0"/>
        <v/>
      </c>
      <c r="F55" s="109"/>
      <c r="G55" s="112"/>
      <c r="H55" s="112"/>
      <c r="I55" s="109"/>
    </row>
    <row r="56" spans="1:9" s="81" customFormat="1">
      <c r="A56" s="118"/>
      <c r="B56" s="106"/>
      <c r="C56" s="107"/>
      <c r="D56" s="107"/>
      <c r="E56" s="108" t="str">
        <f t="shared" si="0"/>
        <v/>
      </c>
      <c r="F56" s="109"/>
      <c r="G56" s="112"/>
      <c r="H56" s="112"/>
      <c r="I56" s="109"/>
    </row>
    <row r="57" spans="1:9" s="81" customFormat="1">
      <c r="A57" s="105"/>
      <c r="B57" s="106"/>
      <c r="C57" s="107"/>
      <c r="D57" s="107"/>
      <c r="E57" s="108" t="str">
        <f t="shared" si="0"/>
        <v/>
      </c>
      <c r="F57" s="109"/>
      <c r="G57" s="112"/>
      <c r="H57" s="112"/>
      <c r="I57" s="109"/>
    </row>
    <row r="58" spans="1:9" s="81" customFormat="1">
      <c r="A58" s="105"/>
      <c r="B58" s="106"/>
      <c r="C58" s="107"/>
      <c r="D58" s="107"/>
      <c r="E58" s="108" t="str">
        <f t="shared" si="0"/>
        <v/>
      </c>
      <c r="F58" s="109"/>
      <c r="G58" s="112"/>
      <c r="H58" s="112"/>
      <c r="I58" s="109"/>
    </row>
    <row r="59" spans="1:9" s="81" customFormat="1">
      <c r="A59" s="105"/>
      <c r="B59" s="106"/>
      <c r="C59" s="107"/>
      <c r="D59" s="107"/>
      <c r="E59" s="108" t="str">
        <f t="shared" si="0"/>
        <v/>
      </c>
      <c r="F59" s="109"/>
      <c r="G59" s="112"/>
      <c r="H59" s="112"/>
      <c r="I59" s="109"/>
    </row>
    <row r="60" spans="1:9" s="81" customFormat="1">
      <c r="A60" s="105"/>
      <c r="B60" s="106"/>
      <c r="C60" s="107"/>
      <c r="D60" s="107"/>
      <c r="E60" s="108" t="str">
        <f t="shared" si="0"/>
        <v/>
      </c>
      <c r="F60" s="109"/>
      <c r="G60" s="112"/>
      <c r="H60" s="112"/>
      <c r="I60" s="109"/>
    </row>
    <row r="61" spans="1:9" s="81" customFormat="1">
      <c r="A61" s="105"/>
      <c r="B61" s="106"/>
      <c r="C61" s="107"/>
      <c r="D61" s="107"/>
      <c r="E61" s="108" t="str">
        <f t="shared" si="0"/>
        <v/>
      </c>
      <c r="F61" s="109"/>
      <c r="G61" s="112"/>
      <c r="H61" s="112"/>
      <c r="I61" s="109"/>
    </row>
    <row r="62" spans="1:9" s="81" customFormat="1">
      <c r="A62" s="105"/>
      <c r="B62" s="106"/>
      <c r="C62" s="107"/>
      <c r="D62" s="107"/>
      <c r="E62" s="108" t="str">
        <f t="shared" si="0"/>
        <v/>
      </c>
      <c r="F62" s="109"/>
      <c r="G62" s="112"/>
      <c r="H62" s="112"/>
      <c r="I62" s="109"/>
    </row>
    <row r="63" spans="1:9" s="81" customFormat="1">
      <c r="A63" s="105"/>
      <c r="B63" s="106"/>
      <c r="C63" s="107"/>
      <c r="D63" s="107"/>
      <c r="E63" s="108" t="str">
        <f t="shared" si="0"/>
        <v/>
      </c>
      <c r="F63" s="109"/>
      <c r="G63" s="112"/>
      <c r="H63" s="112"/>
      <c r="I63" s="109"/>
    </row>
    <row r="64" spans="1:9" s="81" customFormat="1">
      <c r="A64" s="105"/>
      <c r="B64" s="106"/>
      <c r="C64" s="107"/>
      <c r="D64" s="107"/>
      <c r="E64" s="108" t="str">
        <f t="shared" si="0"/>
        <v/>
      </c>
      <c r="F64" s="109"/>
      <c r="G64" s="112"/>
      <c r="H64" s="112"/>
      <c r="I64" s="109"/>
    </row>
    <row r="65" spans="1:9" s="81" customFormat="1">
      <c r="A65" s="105"/>
      <c r="B65" s="106"/>
      <c r="C65" s="107"/>
      <c r="D65" s="107"/>
      <c r="E65" s="108" t="str">
        <f t="shared" si="0"/>
        <v/>
      </c>
      <c r="F65" s="109"/>
      <c r="G65" s="112"/>
      <c r="H65" s="112"/>
      <c r="I65" s="109"/>
    </row>
    <row r="66" spans="1:9" s="81" customFormat="1">
      <c r="A66" s="105"/>
      <c r="B66" s="106"/>
      <c r="C66" s="107"/>
      <c r="D66" s="107"/>
      <c r="E66" s="108" t="str">
        <f t="shared" si="0"/>
        <v/>
      </c>
      <c r="F66" s="109"/>
      <c r="G66" s="112"/>
      <c r="H66" s="112"/>
      <c r="I66" s="109"/>
    </row>
    <row r="67" spans="1:9" s="81" customFormat="1">
      <c r="A67" s="105"/>
      <c r="B67" s="106"/>
      <c r="C67" s="107"/>
      <c r="D67" s="107"/>
      <c r="E67" s="108" t="str">
        <f t="shared" si="0"/>
        <v/>
      </c>
      <c r="F67" s="109"/>
      <c r="G67" s="112"/>
      <c r="H67" s="112"/>
      <c r="I67" s="109"/>
    </row>
    <row r="68" spans="1:9" s="81" customFormat="1">
      <c r="A68" s="105"/>
      <c r="B68" s="106"/>
      <c r="C68" s="107"/>
      <c r="D68" s="107"/>
      <c r="E68" s="108" t="str">
        <f t="shared" si="0"/>
        <v/>
      </c>
      <c r="F68" s="109"/>
      <c r="G68" s="112"/>
      <c r="H68" s="112"/>
      <c r="I68" s="109"/>
    </row>
    <row r="69" spans="1:9" s="81" customFormat="1">
      <c r="A69" s="105"/>
      <c r="B69" s="106"/>
      <c r="C69" s="107"/>
      <c r="D69" s="107"/>
      <c r="E69" s="108" t="str">
        <f t="shared" si="0"/>
        <v/>
      </c>
      <c r="F69" s="109"/>
      <c r="G69" s="112"/>
      <c r="H69" s="112"/>
      <c r="I69" s="109"/>
    </row>
    <row r="70" spans="1:9" s="81" customFormat="1">
      <c r="A70" s="105"/>
      <c r="B70" s="106"/>
      <c r="C70" s="107"/>
      <c r="D70" s="107"/>
      <c r="E70" s="108" t="str">
        <f t="shared" si="0"/>
        <v/>
      </c>
      <c r="F70" s="109"/>
      <c r="G70" s="112"/>
      <c r="H70" s="112"/>
      <c r="I70" s="109"/>
    </row>
    <row r="71" spans="1:9" s="81" customFormat="1">
      <c r="A71" s="105"/>
      <c r="B71" s="106"/>
      <c r="C71" s="107"/>
      <c r="D71" s="107"/>
      <c r="E71" s="108" t="str">
        <f t="shared" si="0"/>
        <v/>
      </c>
      <c r="F71" s="109"/>
      <c r="G71" s="112"/>
      <c r="H71" s="112"/>
      <c r="I71" s="109"/>
    </row>
    <row r="72" spans="1:9" s="81" customFormat="1">
      <c r="A72" s="105"/>
      <c r="B72" s="106"/>
      <c r="C72" s="107"/>
      <c r="D72" s="107"/>
      <c r="E72" s="108" t="str">
        <f t="shared" si="0"/>
        <v/>
      </c>
      <c r="F72" s="109"/>
      <c r="G72" s="112"/>
      <c r="H72" s="112"/>
      <c r="I72" s="109"/>
    </row>
    <row r="73" spans="1:9" s="81" customFormat="1">
      <c r="A73" s="105"/>
      <c r="B73" s="106"/>
      <c r="C73" s="107"/>
      <c r="D73" s="107"/>
      <c r="E73" s="108" t="str">
        <f t="shared" si="0"/>
        <v/>
      </c>
      <c r="F73" s="109"/>
      <c r="G73" s="112"/>
      <c r="H73" s="112"/>
      <c r="I73" s="109"/>
    </row>
    <row r="74" spans="1:9" s="81" customFormat="1">
      <c r="A74" s="105"/>
      <c r="B74" s="106"/>
      <c r="C74" s="107"/>
      <c r="D74" s="107"/>
      <c r="E74" s="108" t="str">
        <f t="shared" si="0"/>
        <v/>
      </c>
      <c r="F74" s="109"/>
      <c r="G74" s="112"/>
      <c r="H74" s="112"/>
      <c r="I74" s="109"/>
    </row>
    <row r="75" spans="1:9" s="81" customFormat="1">
      <c r="A75" s="105"/>
      <c r="B75" s="106"/>
      <c r="C75" s="107"/>
      <c r="D75" s="107"/>
      <c r="E75" s="108" t="str">
        <f t="shared" si="0"/>
        <v/>
      </c>
      <c r="F75" s="109"/>
      <c r="G75" s="112"/>
      <c r="H75" s="112"/>
      <c r="I75" s="109"/>
    </row>
    <row r="76" spans="1:9" s="81" customFormat="1">
      <c r="A76" s="105"/>
      <c r="B76" s="106"/>
      <c r="C76" s="107"/>
      <c r="D76" s="107"/>
      <c r="E76" s="108" t="str">
        <f t="shared" si="0"/>
        <v/>
      </c>
      <c r="F76" s="109"/>
      <c r="G76" s="112"/>
      <c r="H76" s="112"/>
      <c r="I76" s="109"/>
    </row>
    <row r="77" spans="1:9" s="81" customFormat="1">
      <c r="A77" s="105"/>
      <c r="B77" s="106"/>
      <c r="C77" s="107"/>
      <c r="D77" s="107"/>
      <c r="E77" s="108" t="str">
        <f t="shared" si="0"/>
        <v/>
      </c>
      <c r="F77" s="109"/>
      <c r="G77" s="112"/>
      <c r="H77" s="112"/>
      <c r="I77" s="109"/>
    </row>
    <row r="78" spans="1:9" s="81" customFormat="1">
      <c r="A78" s="105"/>
      <c r="B78" s="106"/>
      <c r="C78" s="107"/>
      <c r="D78" s="107"/>
      <c r="E78" s="108" t="str">
        <f t="shared" ref="E78:E141" si="1">IF(C78="","",IF(D78="","",D78-C78))</f>
        <v/>
      </c>
      <c r="F78" s="109"/>
      <c r="G78" s="112"/>
      <c r="H78" s="112"/>
      <c r="I78" s="109"/>
    </row>
    <row r="79" spans="1:9" s="81" customFormat="1">
      <c r="A79" s="105"/>
      <c r="B79" s="106"/>
      <c r="C79" s="107"/>
      <c r="D79" s="107"/>
      <c r="E79" s="108" t="str">
        <f t="shared" si="1"/>
        <v/>
      </c>
      <c r="F79" s="109"/>
      <c r="G79" s="112"/>
      <c r="H79" s="112"/>
      <c r="I79" s="109"/>
    </row>
    <row r="80" spans="1:9" s="81" customFormat="1">
      <c r="A80" s="105"/>
      <c r="B80" s="106"/>
      <c r="C80" s="107"/>
      <c r="D80" s="107"/>
      <c r="E80" s="108" t="str">
        <f t="shared" si="1"/>
        <v/>
      </c>
      <c r="F80" s="109"/>
      <c r="G80" s="112"/>
      <c r="H80" s="112"/>
      <c r="I80" s="109"/>
    </row>
    <row r="81" spans="1:9" s="81" customFormat="1">
      <c r="A81" s="105"/>
      <c r="B81" s="106"/>
      <c r="C81" s="107"/>
      <c r="D81" s="107"/>
      <c r="E81" s="108" t="str">
        <f t="shared" si="1"/>
        <v/>
      </c>
      <c r="F81" s="109"/>
      <c r="G81" s="112"/>
      <c r="H81" s="112"/>
      <c r="I81" s="109"/>
    </row>
    <row r="82" spans="1:9" s="81" customFormat="1">
      <c r="A82" s="105"/>
      <c r="B82" s="106"/>
      <c r="C82" s="107"/>
      <c r="D82" s="107"/>
      <c r="E82" s="108" t="str">
        <f t="shared" si="1"/>
        <v/>
      </c>
      <c r="F82" s="109"/>
      <c r="G82" s="112"/>
      <c r="H82" s="112"/>
      <c r="I82" s="109"/>
    </row>
    <row r="83" spans="1:9" s="81" customFormat="1">
      <c r="A83" s="105"/>
      <c r="B83" s="106"/>
      <c r="C83" s="107"/>
      <c r="D83" s="107"/>
      <c r="E83" s="108" t="str">
        <f t="shared" si="1"/>
        <v/>
      </c>
      <c r="F83" s="109"/>
      <c r="G83" s="112"/>
      <c r="H83" s="112"/>
      <c r="I83" s="109"/>
    </row>
    <row r="84" spans="1:9" s="81" customFormat="1">
      <c r="A84" s="105"/>
      <c r="B84" s="106"/>
      <c r="C84" s="107"/>
      <c r="D84" s="107"/>
      <c r="E84" s="108" t="str">
        <f t="shared" si="1"/>
        <v/>
      </c>
      <c r="F84" s="109"/>
      <c r="G84" s="112"/>
      <c r="H84" s="112"/>
      <c r="I84" s="109"/>
    </row>
    <row r="85" spans="1:9" s="81" customFormat="1">
      <c r="A85" s="105"/>
      <c r="B85" s="106"/>
      <c r="C85" s="107"/>
      <c r="D85" s="107"/>
      <c r="E85" s="108" t="str">
        <f t="shared" si="1"/>
        <v/>
      </c>
      <c r="F85" s="109"/>
      <c r="G85" s="112"/>
      <c r="H85" s="112"/>
      <c r="I85" s="109"/>
    </row>
    <row r="86" spans="1:9" s="81" customFormat="1">
      <c r="A86" s="105"/>
      <c r="B86" s="106"/>
      <c r="C86" s="107"/>
      <c r="D86" s="107"/>
      <c r="E86" s="108" t="str">
        <f t="shared" si="1"/>
        <v/>
      </c>
      <c r="F86" s="109"/>
      <c r="G86" s="112"/>
      <c r="H86" s="112"/>
      <c r="I86" s="109"/>
    </row>
    <row r="87" spans="1:9" s="81" customFormat="1">
      <c r="A87" s="105"/>
      <c r="B87" s="106"/>
      <c r="C87" s="107"/>
      <c r="D87" s="107"/>
      <c r="E87" s="108" t="str">
        <f t="shared" si="1"/>
        <v/>
      </c>
      <c r="F87" s="109"/>
      <c r="G87" s="112"/>
      <c r="H87" s="112"/>
      <c r="I87" s="109"/>
    </row>
    <row r="88" spans="1:9" s="81" customFormat="1">
      <c r="A88" s="105"/>
      <c r="B88" s="106"/>
      <c r="C88" s="107"/>
      <c r="D88" s="107"/>
      <c r="E88" s="108" t="str">
        <f t="shared" si="1"/>
        <v/>
      </c>
      <c r="F88" s="109"/>
      <c r="G88" s="112"/>
      <c r="H88" s="112"/>
      <c r="I88" s="109"/>
    </row>
    <row r="89" spans="1:9" s="81" customFormat="1">
      <c r="A89" s="105"/>
      <c r="B89" s="106"/>
      <c r="C89" s="107"/>
      <c r="D89" s="107"/>
      <c r="E89" s="108" t="str">
        <f t="shared" si="1"/>
        <v/>
      </c>
      <c r="F89" s="109"/>
      <c r="G89" s="112"/>
      <c r="H89" s="112"/>
      <c r="I89" s="109"/>
    </row>
    <row r="90" spans="1:9" s="81" customFormat="1">
      <c r="A90" s="105"/>
      <c r="B90" s="106"/>
      <c r="C90" s="107"/>
      <c r="D90" s="107"/>
      <c r="E90" s="108" t="str">
        <f t="shared" si="1"/>
        <v/>
      </c>
      <c r="F90" s="109"/>
      <c r="G90" s="112"/>
      <c r="H90" s="112"/>
      <c r="I90" s="109"/>
    </row>
    <row r="91" spans="1:9" s="81" customFormat="1">
      <c r="A91" s="105"/>
      <c r="B91" s="106"/>
      <c r="C91" s="107"/>
      <c r="D91" s="107"/>
      <c r="E91" s="108" t="str">
        <f t="shared" si="1"/>
        <v/>
      </c>
      <c r="F91" s="109"/>
      <c r="G91" s="112"/>
      <c r="H91" s="112"/>
      <c r="I91" s="109"/>
    </row>
    <row r="92" spans="1:9" s="81" customFormat="1">
      <c r="A92" s="105"/>
      <c r="B92" s="106"/>
      <c r="C92" s="107"/>
      <c r="D92" s="107"/>
      <c r="E92" s="108" t="str">
        <f t="shared" si="1"/>
        <v/>
      </c>
      <c r="F92" s="109"/>
      <c r="G92" s="112"/>
      <c r="H92" s="112"/>
      <c r="I92" s="109"/>
    </row>
    <row r="93" spans="1:9" s="81" customFormat="1">
      <c r="A93" s="105"/>
      <c r="B93" s="106"/>
      <c r="C93" s="107"/>
      <c r="D93" s="107"/>
      <c r="E93" s="108" t="str">
        <f t="shared" si="1"/>
        <v/>
      </c>
      <c r="F93" s="109"/>
      <c r="G93" s="112"/>
      <c r="H93" s="112"/>
      <c r="I93" s="109"/>
    </row>
    <row r="94" spans="1:9" s="81" customFormat="1">
      <c r="A94" s="105"/>
      <c r="B94" s="106"/>
      <c r="C94" s="107"/>
      <c r="D94" s="107"/>
      <c r="E94" s="108" t="str">
        <f t="shared" si="1"/>
        <v/>
      </c>
      <c r="F94" s="109"/>
      <c r="G94" s="112"/>
      <c r="H94" s="112"/>
      <c r="I94" s="109"/>
    </row>
    <row r="95" spans="1:9" s="81" customFormat="1">
      <c r="A95" s="105"/>
      <c r="B95" s="106"/>
      <c r="C95" s="107"/>
      <c r="D95" s="107"/>
      <c r="E95" s="108" t="str">
        <f t="shared" si="1"/>
        <v/>
      </c>
      <c r="F95" s="109"/>
      <c r="G95" s="112"/>
      <c r="H95" s="112"/>
      <c r="I95" s="109"/>
    </row>
    <row r="96" spans="1:9" s="81" customFormat="1">
      <c r="A96" s="105"/>
      <c r="B96" s="106"/>
      <c r="C96" s="107"/>
      <c r="D96" s="107"/>
      <c r="E96" s="108" t="str">
        <f t="shared" si="1"/>
        <v/>
      </c>
      <c r="F96" s="109"/>
      <c r="G96" s="112"/>
      <c r="H96" s="112"/>
      <c r="I96" s="109"/>
    </row>
    <row r="97" spans="1:9" s="81" customFormat="1">
      <c r="A97" s="105"/>
      <c r="B97" s="106"/>
      <c r="C97" s="107"/>
      <c r="D97" s="107"/>
      <c r="E97" s="108" t="str">
        <f t="shared" si="1"/>
        <v/>
      </c>
      <c r="F97" s="109"/>
      <c r="G97" s="112"/>
      <c r="H97" s="112"/>
      <c r="I97" s="109"/>
    </row>
    <row r="98" spans="1:9" s="81" customFormat="1">
      <c r="A98" s="105"/>
      <c r="B98" s="106"/>
      <c r="C98" s="107"/>
      <c r="D98" s="107"/>
      <c r="E98" s="108" t="str">
        <f t="shared" si="1"/>
        <v/>
      </c>
      <c r="F98" s="109"/>
      <c r="G98" s="112"/>
      <c r="H98" s="112"/>
      <c r="I98" s="109"/>
    </row>
    <row r="99" spans="1:9" s="81" customFormat="1">
      <c r="A99" s="105"/>
      <c r="B99" s="106"/>
      <c r="C99" s="107"/>
      <c r="D99" s="107"/>
      <c r="E99" s="108" t="str">
        <f t="shared" si="1"/>
        <v/>
      </c>
      <c r="F99" s="109"/>
      <c r="G99" s="112"/>
      <c r="H99" s="112"/>
      <c r="I99" s="109"/>
    </row>
    <row r="100" spans="1:9" s="81" customFormat="1">
      <c r="A100" s="105"/>
      <c r="B100" s="106"/>
      <c r="C100" s="107"/>
      <c r="D100" s="107"/>
      <c r="E100" s="108" t="str">
        <f t="shared" si="1"/>
        <v/>
      </c>
      <c r="F100" s="109"/>
      <c r="G100" s="112"/>
      <c r="H100" s="112"/>
      <c r="I100" s="109"/>
    </row>
    <row r="101" spans="1:9" s="81" customFormat="1">
      <c r="A101" s="105"/>
      <c r="B101" s="106"/>
      <c r="C101" s="107"/>
      <c r="D101" s="107"/>
      <c r="E101" s="108" t="str">
        <f t="shared" si="1"/>
        <v/>
      </c>
      <c r="F101" s="109"/>
      <c r="G101" s="112"/>
      <c r="H101" s="112"/>
      <c r="I101" s="109"/>
    </row>
    <row r="102" spans="1:9" s="81" customFormat="1">
      <c r="A102" s="105"/>
      <c r="B102" s="106"/>
      <c r="C102" s="107"/>
      <c r="D102" s="107"/>
      <c r="E102" s="108" t="str">
        <f t="shared" si="1"/>
        <v/>
      </c>
      <c r="F102" s="109"/>
      <c r="G102" s="112"/>
      <c r="H102" s="112"/>
      <c r="I102" s="109"/>
    </row>
    <row r="103" spans="1:9" s="81" customFormat="1">
      <c r="A103" s="105"/>
      <c r="B103" s="106"/>
      <c r="C103" s="107"/>
      <c r="D103" s="107"/>
      <c r="E103" s="108" t="str">
        <f t="shared" si="1"/>
        <v/>
      </c>
      <c r="F103" s="109"/>
      <c r="G103" s="112"/>
      <c r="H103" s="112"/>
      <c r="I103" s="109"/>
    </row>
    <row r="104" spans="1:9" s="81" customFormat="1">
      <c r="A104" s="105"/>
      <c r="B104" s="106"/>
      <c r="C104" s="107"/>
      <c r="D104" s="107"/>
      <c r="E104" s="108" t="str">
        <f t="shared" si="1"/>
        <v/>
      </c>
      <c r="F104" s="109"/>
      <c r="G104" s="112"/>
      <c r="H104" s="112"/>
      <c r="I104" s="109"/>
    </row>
    <row r="105" spans="1:9" s="81" customFormat="1">
      <c r="A105" s="105"/>
      <c r="B105" s="106"/>
      <c r="C105" s="107"/>
      <c r="D105" s="107"/>
      <c r="E105" s="108" t="str">
        <f t="shared" si="1"/>
        <v/>
      </c>
      <c r="F105" s="109"/>
      <c r="G105" s="112"/>
      <c r="H105" s="112"/>
      <c r="I105" s="109"/>
    </row>
    <row r="106" spans="1:9" s="81" customFormat="1">
      <c r="A106" s="105"/>
      <c r="B106" s="106"/>
      <c r="C106" s="107"/>
      <c r="D106" s="107"/>
      <c r="E106" s="108" t="str">
        <f t="shared" si="1"/>
        <v/>
      </c>
      <c r="F106" s="109"/>
      <c r="G106" s="112"/>
      <c r="H106" s="112"/>
      <c r="I106" s="109"/>
    </row>
    <row r="107" spans="1:9" s="81" customFormat="1">
      <c r="A107" s="105"/>
      <c r="B107" s="106"/>
      <c r="C107" s="107"/>
      <c r="D107" s="107"/>
      <c r="E107" s="108" t="str">
        <f t="shared" si="1"/>
        <v/>
      </c>
      <c r="F107" s="109"/>
      <c r="G107" s="112"/>
      <c r="H107" s="112"/>
      <c r="I107" s="109"/>
    </row>
    <row r="108" spans="1:9" s="81" customFormat="1">
      <c r="A108" s="105"/>
      <c r="B108" s="106"/>
      <c r="C108" s="107"/>
      <c r="D108" s="107"/>
      <c r="E108" s="108" t="str">
        <f t="shared" si="1"/>
        <v/>
      </c>
      <c r="F108" s="109"/>
      <c r="G108" s="112"/>
      <c r="H108" s="112"/>
      <c r="I108" s="109"/>
    </row>
    <row r="109" spans="1:9" s="81" customFormat="1">
      <c r="A109" s="105"/>
      <c r="B109" s="106"/>
      <c r="C109" s="107"/>
      <c r="D109" s="107"/>
      <c r="E109" s="108" t="str">
        <f t="shared" si="1"/>
        <v/>
      </c>
      <c r="F109" s="109"/>
      <c r="G109" s="112"/>
      <c r="H109" s="112"/>
      <c r="I109" s="109"/>
    </row>
    <row r="110" spans="1:9" s="81" customFormat="1">
      <c r="A110" s="105"/>
      <c r="B110" s="106"/>
      <c r="C110" s="107"/>
      <c r="D110" s="107"/>
      <c r="E110" s="108" t="str">
        <f t="shared" si="1"/>
        <v/>
      </c>
      <c r="F110" s="109"/>
      <c r="G110" s="112"/>
      <c r="H110" s="112"/>
      <c r="I110" s="109"/>
    </row>
    <row r="111" spans="1:9" s="81" customFormat="1">
      <c r="A111" s="105"/>
      <c r="B111" s="106"/>
      <c r="C111" s="107"/>
      <c r="D111" s="107"/>
      <c r="E111" s="108" t="str">
        <f t="shared" si="1"/>
        <v/>
      </c>
      <c r="F111" s="109"/>
      <c r="G111" s="112"/>
      <c r="H111" s="112"/>
      <c r="I111" s="109"/>
    </row>
    <row r="112" spans="1:9" s="81" customFormat="1">
      <c r="A112" s="105"/>
      <c r="B112" s="106"/>
      <c r="C112" s="107"/>
      <c r="D112" s="107"/>
      <c r="E112" s="108" t="str">
        <f t="shared" si="1"/>
        <v/>
      </c>
      <c r="F112" s="109"/>
      <c r="G112" s="112"/>
      <c r="H112" s="112"/>
      <c r="I112" s="109"/>
    </row>
    <row r="113" spans="1:9" s="81" customFormat="1">
      <c r="A113" s="105"/>
      <c r="B113" s="106"/>
      <c r="C113" s="107"/>
      <c r="D113" s="107"/>
      <c r="E113" s="108" t="str">
        <f t="shared" si="1"/>
        <v/>
      </c>
      <c r="F113" s="109"/>
      <c r="G113" s="112"/>
      <c r="H113" s="112"/>
      <c r="I113" s="109"/>
    </row>
    <row r="114" spans="1:9" s="81" customFormat="1">
      <c r="A114" s="105"/>
      <c r="B114" s="106"/>
      <c r="C114" s="107"/>
      <c r="D114" s="107"/>
      <c r="E114" s="108" t="str">
        <f t="shared" si="1"/>
        <v/>
      </c>
      <c r="F114" s="109"/>
      <c r="G114" s="112"/>
      <c r="H114" s="112"/>
      <c r="I114" s="109"/>
    </row>
    <row r="115" spans="1:9" s="81" customFormat="1">
      <c r="A115" s="105"/>
      <c r="B115" s="106"/>
      <c r="C115" s="107"/>
      <c r="D115" s="107"/>
      <c r="E115" s="108" t="str">
        <f t="shared" si="1"/>
        <v/>
      </c>
      <c r="F115" s="109"/>
      <c r="G115" s="112"/>
      <c r="H115" s="112"/>
      <c r="I115" s="109"/>
    </row>
    <row r="116" spans="1:9" s="81" customFormat="1">
      <c r="A116" s="105"/>
      <c r="B116" s="106"/>
      <c r="C116" s="107"/>
      <c r="D116" s="107"/>
      <c r="E116" s="108" t="str">
        <f t="shared" si="1"/>
        <v/>
      </c>
      <c r="F116" s="109"/>
      <c r="G116" s="112"/>
      <c r="H116" s="112"/>
      <c r="I116" s="109"/>
    </row>
    <row r="117" spans="1:9" s="81" customFormat="1">
      <c r="A117" s="105"/>
      <c r="B117" s="106"/>
      <c r="C117" s="107"/>
      <c r="D117" s="107"/>
      <c r="E117" s="108" t="str">
        <f t="shared" si="1"/>
        <v/>
      </c>
      <c r="F117" s="109"/>
      <c r="G117" s="112"/>
      <c r="H117" s="112"/>
      <c r="I117" s="109"/>
    </row>
    <row r="118" spans="1:9" s="81" customFormat="1">
      <c r="A118" s="105"/>
      <c r="B118" s="106"/>
      <c r="C118" s="107"/>
      <c r="D118" s="107"/>
      <c r="E118" s="108" t="str">
        <f t="shared" si="1"/>
        <v/>
      </c>
      <c r="F118" s="109"/>
      <c r="G118" s="112"/>
      <c r="H118" s="112"/>
      <c r="I118" s="109"/>
    </row>
    <row r="119" spans="1:9" s="81" customFormat="1">
      <c r="A119" s="105"/>
      <c r="B119" s="106"/>
      <c r="C119" s="107"/>
      <c r="D119" s="107"/>
      <c r="E119" s="108" t="str">
        <f t="shared" si="1"/>
        <v/>
      </c>
      <c r="F119" s="109"/>
      <c r="G119" s="112"/>
      <c r="H119" s="112"/>
      <c r="I119" s="109"/>
    </row>
    <row r="120" spans="1:9" s="81" customFormat="1">
      <c r="A120" s="105"/>
      <c r="B120" s="106"/>
      <c r="C120" s="107"/>
      <c r="D120" s="107"/>
      <c r="E120" s="108" t="str">
        <f t="shared" si="1"/>
        <v/>
      </c>
      <c r="F120" s="109"/>
      <c r="G120" s="112"/>
      <c r="H120" s="112"/>
      <c r="I120" s="109"/>
    </row>
    <row r="121" spans="1:9" s="81" customFormat="1">
      <c r="A121" s="105"/>
      <c r="B121" s="106"/>
      <c r="C121" s="107"/>
      <c r="D121" s="107"/>
      <c r="E121" s="108" t="str">
        <f t="shared" si="1"/>
        <v/>
      </c>
      <c r="F121" s="109"/>
      <c r="G121" s="112"/>
      <c r="H121" s="112"/>
      <c r="I121" s="109"/>
    </row>
    <row r="122" spans="1:9" s="81" customFormat="1">
      <c r="A122" s="105"/>
      <c r="B122" s="106"/>
      <c r="C122" s="107"/>
      <c r="D122" s="107"/>
      <c r="E122" s="108" t="str">
        <f t="shared" si="1"/>
        <v/>
      </c>
      <c r="F122" s="109"/>
      <c r="G122" s="112"/>
      <c r="H122" s="112"/>
      <c r="I122" s="109"/>
    </row>
    <row r="123" spans="1:9" s="81" customFormat="1">
      <c r="A123" s="105"/>
      <c r="B123" s="106"/>
      <c r="C123" s="107"/>
      <c r="D123" s="107"/>
      <c r="E123" s="108" t="str">
        <f t="shared" si="1"/>
        <v/>
      </c>
      <c r="F123" s="109"/>
      <c r="G123" s="112"/>
      <c r="H123" s="112"/>
      <c r="I123" s="109"/>
    </row>
    <row r="124" spans="1:9" s="81" customFormat="1">
      <c r="A124" s="105"/>
      <c r="B124" s="106"/>
      <c r="C124" s="107"/>
      <c r="D124" s="107"/>
      <c r="E124" s="108" t="str">
        <f t="shared" si="1"/>
        <v/>
      </c>
      <c r="F124" s="109"/>
      <c r="G124" s="112"/>
      <c r="H124" s="112"/>
      <c r="I124" s="109"/>
    </row>
    <row r="125" spans="1:9" s="81" customFormat="1">
      <c r="A125" s="105"/>
      <c r="B125" s="106"/>
      <c r="C125" s="107"/>
      <c r="D125" s="107"/>
      <c r="E125" s="108" t="str">
        <f t="shared" si="1"/>
        <v/>
      </c>
      <c r="F125" s="109"/>
      <c r="G125" s="112"/>
      <c r="H125" s="112"/>
      <c r="I125" s="109"/>
    </row>
    <row r="126" spans="1:9" s="81" customFormat="1">
      <c r="A126" s="105"/>
      <c r="B126" s="106"/>
      <c r="C126" s="107"/>
      <c r="D126" s="107"/>
      <c r="E126" s="108" t="str">
        <f t="shared" si="1"/>
        <v/>
      </c>
      <c r="F126" s="109"/>
      <c r="G126" s="112"/>
      <c r="H126" s="112"/>
      <c r="I126" s="109"/>
    </row>
    <row r="127" spans="1:9" s="81" customFormat="1">
      <c r="A127" s="105"/>
      <c r="B127" s="106"/>
      <c r="C127" s="107"/>
      <c r="D127" s="107"/>
      <c r="E127" s="108" t="str">
        <f t="shared" si="1"/>
        <v/>
      </c>
      <c r="F127" s="109"/>
      <c r="G127" s="112"/>
      <c r="H127" s="112"/>
      <c r="I127" s="109"/>
    </row>
    <row r="128" spans="1:9" s="81" customFormat="1">
      <c r="A128" s="105"/>
      <c r="B128" s="106"/>
      <c r="C128" s="107"/>
      <c r="D128" s="107"/>
      <c r="E128" s="108" t="str">
        <f t="shared" si="1"/>
        <v/>
      </c>
      <c r="F128" s="109"/>
      <c r="G128" s="112"/>
      <c r="H128" s="112"/>
      <c r="I128" s="109"/>
    </row>
    <row r="129" spans="1:9" s="81" customFormat="1">
      <c r="A129" s="105"/>
      <c r="B129" s="106"/>
      <c r="C129" s="107"/>
      <c r="D129" s="107"/>
      <c r="E129" s="108" t="str">
        <f t="shared" si="1"/>
        <v/>
      </c>
      <c r="F129" s="109"/>
      <c r="G129" s="112"/>
      <c r="H129" s="112"/>
      <c r="I129" s="109"/>
    </row>
    <row r="130" spans="1:9" s="81" customFormat="1">
      <c r="A130" s="105"/>
      <c r="B130" s="106"/>
      <c r="C130" s="107"/>
      <c r="D130" s="107"/>
      <c r="E130" s="108" t="str">
        <f t="shared" si="1"/>
        <v/>
      </c>
      <c r="F130" s="109"/>
      <c r="G130" s="112"/>
      <c r="H130" s="112"/>
      <c r="I130" s="109"/>
    </row>
    <row r="131" spans="1:9" s="81" customFormat="1">
      <c r="A131" s="105"/>
      <c r="B131" s="106"/>
      <c r="C131" s="107"/>
      <c r="D131" s="107"/>
      <c r="E131" s="108" t="str">
        <f t="shared" si="1"/>
        <v/>
      </c>
      <c r="F131" s="109"/>
      <c r="G131" s="112"/>
      <c r="H131" s="112"/>
      <c r="I131" s="109"/>
    </row>
    <row r="132" spans="1:9" s="81" customFormat="1">
      <c r="A132" s="105"/>
      <c r="B132" s="106"/>
      <c r="C132" s="107"/>
      <c r="D132" s="107"/>
      <c r="E132" s="108" t="str">
        <f t="shared" si="1"/>
        <v/>
      </c>
      <c r="F132" s="109"/>
      <c r="G132" s="112"/>
      <c r="H132" s="112"/>
      <c r="I132" s="109"/>
    </row>
    <row r="133" spans="1:9" s="81" customFormat="1">
      <c r="A133" s="105"/>
      <c r="B133" s="106"/>
      <c r="C133" s="107"/>
      <c r="D133" s="107"/>
      <c r="E133" s="108" t="str">
        <f t="shared" si="1"/>
        <v/>
      </c>
      <c r="F133" s="109"/>
      <c r="G133" s="112"/>
      <c r="H133" s="112"/>
      <c r="I133" s="109"/>
    </row>
    <row r="134" spans="1:9" s="81" customFormat="1">
      <c r="A134" s="105"/>
      <c r="B134" s="106"/>
      <c r="C134" s="107"/>
      <c r="D134" s="107"/>
      <c r="E134" s="108" t="str">
        <f t="shared" si="1"/>
        <v/>
      </c>
      <c r="F134" s="109"/>
      <c r="G134" s="112"/>
      <c r="H134" s="112"/>
      <c r="I134" s="109"/>
    </row>
    <row r="135" spans="1:9" s="81" customFormat="1">
      <c r="A135" s="105"/>
      <c r="B135" s="106"/>
      <c r="C135" s="107"/>
      <c r="D135" s="107"/>
      <c r="E135" s="108" t="str">
        <f t="shared" si="1"/>
        <v/>
      </c>
      <c r="F135" s="109"/>
      <c r="G135" s="112"/>
      <c r="H135" s="112"/>
      <c r="I135" s="109"/>
    </row>
    <row r="136" spans="1:9" s="81" customFormat="1">
      <c r="A136" s="105"/>
      <c r="B136" s="106"/>
      <c r="C136" s="107"/>
      <c r="D136" s="107"/>
      <c r="E136" s="108" t="str">
        <f t="shared" si="1"/>
        <v/>
      </c>
      <c r="F136" s="109"/>
      <c r="G136" s="112"/>
      <c r="H136" s="112"/>
      <c r="I136" s="109"/>
    </row>
    <row r="137" spans="1:9" s="81" customFormat="1">
      <c r="A137" s="105"/>
      <c r="B137" s="106"/>
      <c r="C137" s="107"/>
      <c r="D137" s="107"/>
      <c r="E137" s="108" t="str">
        <f t="shared" si="1"/>
        <v/>
      </c>
      <c r="F137" s="109"/>
      <c r="G137" s="112"/>
      <c r="H137" s="112"/>
      <c r="I137" s="109"/>
    </row>
    <row r="138" spans="1:9" s="81" customFormat="1">
      <c r="A138" s="105"/>
      <c r="B138" s="106"/>
      <c r="C138" s="107"/>
      <c r="D138" s="107"/>
      <c r="E138" s="108" t="str">
        <f t="shared" si="1"/>
        <v/>
      </c>
      <c r="F138" s="109"/>
      <c r="G138" s="112"/>
      <c r="H138" s="112"/>
      <c r="I138" s="109"/>
    </row>
    <row r="139" spans="1:9" s="81" customFormat="1">
      <c r="A139" s="105"/>
      <c r="B139" s="106"/>
      <c r="C139" s="107"/>
      <c r="D139" s="107"/>
      <c r="E139" s="108" t="str">
        <f t="shared" si="1"/>
        <v/>
      </c>
      <c r="F139" s="109"/>
      <c r="G139" s="112"/>
      <c r="H139" s="112"/>
      <c r="I139" s="109"/>
    </row>
    <row r="140" spans="1:9" s="81" customFormat="1">
      <c r="A140" s="105"/>
      <c r="B140" s="106"/>
      <c r="C140" s="107"/>
      <c r="D140" s="107"/>
      <c r="E140" s="108" t="str">
        <f t="shared" si="1"/>
        <v/>
      </c>
      <c r="F140" s="109"/>
      <c r="G140" s="112"/>
      <c r="H140" s="112"/>
      <c r="I140" s="109"/>
    </row>
    <row r="141" spans="1:9" s="81" customFormat="1">
      <c r="A141" s="105"/>
      <c r="B141" s="106"/>
      <c r="C141" s="107"/>
      <c r="D141" s="107"/>
      <c r="E141" s="108" t="str">
        <f t="shared" si="1"/>
        <v/>
      </c>
      <c r="F141" s="109"/>
      <c r="G141" s="112"/>
      <c r="H141" s="112"/>
      <c r="I141" s="109"/>
    </row>
    <row r="142" spans="1:9" s="81" customFormat="1">
      <c r="A142" s="105"/>
      <c r="B142" s="106"/>
      <c r="C142" s="107"/>
      <c r="D142" s="107"/>
      <c r="E142" s="108" t="str">
        <f t="shared" ref="E142:E205" si="2">IF(C142="","",IF(D142="","",D142-C142))</f>
        <v/>
      </c>
      <c r="F142" s="109"/>
      <c r="G142" s="112"/>
      <c r="H142" s="112"/>
      <c r="I142" s="109"/>
    </row>
    <row r="143" spans="1:9" s="81" customFormat="1">
      <c r="A143" s="105"/>
      <c r="B143" s="106"/>
      <c r="C143" s="107"/>
      <c r="D143" s="107"/>
      <c r="E143" s="108" t="str">
        <f t="shared" si="2"/>
        <v/>
      </c>
      <c r="F143" s="109"/>
      <c r="G143" s="112"/>
      <c r="H143" s="112"/>
      <c r="I143" s="109"/>
    </row>
    <row r="144" spans="1:9" s="81" customFormat="1">
      <c r="A144" s="105"/>
      <c r="B144" s="106"/>
      <c r="C144" s="107"/>
      <c r="D144" s="107"/>
      <c r="E144" s="108" t="str">
        <f t="shared" si="2"/>
        <v/>
      </c>
      <c r="F144" s="109"/>
      <c r="G144" s="112"/>
      <c r="H144" s="112"/>
      <c r="I144" s="109"/>
    </row>
    <row r="145" spans="1:9" s="81" customFormat="1">
      <c r="A145" s="105"/>
      <c r="B145" s="106"/>
      <c r="C145" s="107"/>
      <c r="D145" s="107"/>
      <c r="E145" s="108" t="str">
        <f t="shared" si="2"/>
        <v/>
      </c>
      <c r="F145" s="109"/>
      <c r="G145" s="112"/>
      <c r="H145" s="112"/>
      <c r="I145" s="109"/>
    </row>
    <row r="146" spans="1:9" s="81" customFormat="1">
      <c r="A146" s="105"/>
      <c r="B146" s="106"/>
      <c r="C146" s="107"/>
      <c r="D146" s="107"/>
      <c r="E146" s="108" t="str">
        <f t="shared" si="2"/>
        <v/>
      </c>
      <c r="F146" s="109"/>
      <c r="G146" s="112"/>
      <c r="H146" s="112"/>
      <c r="I146" s="109"/>
    </row>
    <row r="147" spans="1:9" s="81" customFormat="1">
      <c r="A147" s="105"/>
      <c r="B147" s="106"/>
      <c r="C147" s="107"/>
      <c r="D147" s="107"/>
      <c r="E147" s="108" t="str">
        <f t="shared" si="2"/>
        <v/>
      </c>
      <c r="F147" s="109"/>
      <c r="G147" s="112"/>
      <c r="H147" s="112"/>
      <c r="I147" s="109"/>
    </row>
    <row r="148" spans="1:9" s="81" customFormat="1">
      <c r="A148" s="105"/>
      <c r="B148" s="106"/>
      <c r="C148" s="107"/>
      <c r="D148" s="107"/>
      <c r="E148" s="108" t="str">
        <f t="shared" si="2"/>
        <v/>
      </c>
      <c r="F148" s="109"/>
      <c r="G148" s="112"/>
      <c r="H148" s="112"/>
      <c r="I148" s="109"/>
    </row>
    <row r="149" spans="1:9" s="81" customFormat="1">
      <c r="A149" s="105"/>
      <c r="B149" s="106"/>
      <c r="C149" s="107"/>
      <c r="D149" s="107"/>
      <c r="E149" s="108" t="str">
        <f t="shared" si="2"/>
        <v/>
      </c>
      <c r="F149" s="109"/>
      <c r="G149" s="112"/>
      <c r="H149" s="112"/>
      <c r="I149" s="109"/>
    </row>
    <row r="150" spans="1:9" s="81" customFormat="1">
      <c r="A150" s="105"/>
      <c r="B150" s="106"/>
      <c r="C150" s="107"/>
      <c r="D150" s="107"/>
      <c r="E150" s="108" t="str">
        <f t="shared" si="2"/>
        <v/>
      </c>
      <c r="F150" s="109"/>
      <c r="G150" s="112"/>
      <c r="H150" s="112"/>
      <c r="I150" s="109"/>
    </row>
    <row r="151" spans="1:9" s="81" customFormat="1">
      <c r="A151" s="105"/>
      <c r="B151" s="106"/>
      <c r="C151" s="107"/>
      <c r="D151" s="107"/>
      <c r="E151" s="108" t="str">
        <f t="shared" si="2"/>
        <v/>
      </c>
      <c r="F151" s="109"/>
      <c r="G151" s="112"/>
      <c r="H151" s="112"/>
      <c r="I151" s="109"/>
    </row>
    <row r="152" spans="1:9" s="81" customFormat="1">
      <c r="A152" s="105"/>
      <c r="B152" s="106"/>
      <c r="C152" s="107"/>
      <c r="D152" s="107"/>
      <c r="E152" s="108" t="str">
        <f t="shared" si="2"/>
        <v/>
      </c>
      <c r="F152" s="109"/>
      <c r="G152" s="112"/>
      <c r="H152" s="112"/>
      <c r="I152" s="109"/>
    </row>
    <row r="153" spans="1:9" s="81" customFormat="1">
      <c r="A153" s="105"/>
      <c r="B153" s="106"/>
      <c r="C153" s="107"/>
      <c r="D153" s="107"/>
      <c r="E153" s="108" t="str">
        <f t="shared" si="2"/>
        <v/>
      </c>
      <c r="F153" s="109"/>
      <c r="G153" s="112"/>
      <c r="H153" s="112"/>
      <c r="I153" s="109"/>
    </row>
    <row r="154" spans="1:9" s="81" customFormat="1">
      <c r="A154" s="105"/>
      <c r="B154" s="106"/>
      <c r="C154" s="107"/>
      <c r="D154" s="107"/>
      <c r="E154" s="108" t="str">
        <f t="shared" si="2"/>
        <v/>
      </c>
      <c r="F154" s="109"/>
      <c r="G154" s="112"/>
      <c r="H154" s="112"/>
      <c r="I154" s="109"/>
    </row>
    <row r="155" spans="1:9" s="81" customFormat="1">
      <c r="A155" s="105"/>
      <c r="B155" s="106"/>
      <c r="C155" s="107"/>
      <c r="D155" s="107"/>
      <c r="E155" s="108" t="str">
        <f t="shared" si="2"/>
        <v/>
      </c>
      <c r="F155" s="109"/>
      <c r="G155" s="112"/>
      <c r="H155" s="112"/>
      <c r="I155" s="109"/>
    </row>
    <row r="156" spans="1:9" s="81" customFormat="1">
      <c r="A156" s="105"/>
      <c r="B156" s="106"/>
      <c r="C156" s="107"/>
      <c r="D156" s="107"/>
      <c r="E156" s="108" t="str">
        <f t="shared" si="2"/>
        <v/>
      </c>
      <c r="F156" s="109"/>
      <c r="G156" s="112"/>
      <c r="H156" s="112"/>
      <c r="I156" s="109"/>
    </row>
    <row r="157" spans="1:9" s="81" customFormat="1">
      <c r="A157" s="105"/>
      <c r="B157" s="106"/>
      <c r="C157" s="107"/>
      <c r="D157" s="107"/>
      <c r="E157" s="108" t="str">
        <f t="shared" si="2"/>
        <v/>
      </c>
      <c r="F157" s="109"/>
      <c r="G157" s="112"/>
      <c r="H157" s="112"/>
      <c r="I157" s="109"/>
    </row>
    <row r="158" spans="1:9" s="81" customFormat="1">
      <c r="A158" s="105"/>
      <c r="B158" s="106"/>
      <c r="C158" s="107"/>
      <c r="D158" s="107"/>
      <c r="E158" s="108" t="str">
        <f t="shared" si="2"/>
        <v/>
      </c>
      <c r="F158" s="109"/>
      <c r="G158" s="112"/>
      <c r="H158" s="112"/>
      <c r="I158" s="109"/>
    </row>
    <row r="159" spans="1:9" s="81" customFormat="1">
      <c r="A159" s="105"/>
      <c r="B159" s="106"/>
      <c r="C159" s="107"/>
      <c r="D159" s="107"/>
      <c r="E159" s="108" t="str">
        <f t="shared" si="2"/>
        <v/>
      </c>
      <c r="F159" s="109"/>
      <c r="G159" s="112"/>
      <c r="H159" s="112"/>
      <c r="I159" s="109"/>
    </row>
    <row r="160" spans="1:9" s="81" customFormat="1">
      <c r="A160" s="105"/>
      <c r="B160" s="106"/>
      <c r="C160" s="107"/>
      <c r="D160" s="107"/>
      <c r="E160" s="108" t="str">
        <f t="shared" si="2"/>
        <v/>
      </c>
      <c r="F160" s="109"/>
      <c r="G160" s="112"/>
      <c r="H160" s="112"/>
      <c r="I160" s="109"/>
    </row>
    <row r="161" spans="1:9" s="81" customFormat="1">
      <c r="A161" s="105"/>
      <c r="B161" s="106"/>
      <c r="C161" s="107"/>
      <c r="D161" s="107"/>
      <c r="E161" s="108" t="str">
        <f t="shared" si="2"/>
        <v/>
      </c>
      <c r="F161" s="109"/>
      <c r="G161" s="112"/>
      <c r="H161" s="112"/>
      <c r="I161" s="109"/>
    </row>
    <row r="162" spans="1:9" s="81" customFormat="1">
      <c r="A162" s="105"/>
      <c r="B162" s="106"/>
      <c r="C162" s="107"/>
      <c r="D162" s="107"/>
      <c r="E162" s="108" t="str">
        <f t="shared" si="2"/>
        <v/>
      </c>
      <c r="F162" s="109"/>
      <c r="G162" s="112"/>
      <c r="H162" s="112"/>
      <c r="I162" s="109"/>
    </row>
    <row r="163" spans="1:9" s="81" customFormat="1">
      <c r="A163" s="105"/>
      <c r="B163" s="106"/>
      <c r="C163" s="107"/>
      <c r="D163" s="107"/>
      <c r="E163" s="108" t="str">
        <f t="shared" si="2"/>
        <v/>
      </c>
      <c r="F163" s="109"/>
      <c r="G163" s="112"/>
      <c r="H163" s="112"/>
      <c r="I163" s="109"/>
    </row>
    <row r="164" spans="1:9" s="81" customFormat="1">
      <c r="A164" s="105"/>
      <c r="B164" s="106"/>
      <c r="C164" s="107"/>
      <c r="D164" s="107"/>
      <c r="E164" s="108" t="str">
        <f t="shared" si="2"/>
        <v/>
      </c>
      <c r="F164" s="109"/>
      <c r="G164" s="112"/>
      <c r="H164" s="112"/>
      <c r="I164" s="109"/>
    </row>
    <row r="165" spans="1:9" s="81" customFormat="1">
      <c r="A165" s="105"/>
      <c r="B165" s="106"/>
      <c r="C165" s="107"/>
      <c r="D165" s="107"/>
      <c r="E165" s="108" t="str">
        <f t="shared" si="2"/>
        <v/>
      </c>
      <c r="F165" s="109"/>
      <c r="G165" s="112"/>
      <c r="H165" s="112"/>
      <c r="I165" s="109"/>
    </row>
    <row r="166" spans="1:9" s="81" customFormat="1">
      <c r="A166" s="105"/>
      <c r="B166" s="106"/>
      <c r="C166" s="107"/>
      <c r="D166" s="107"/>
      <c r="E166" s="108" t="str">
        <f t="shared" si="2"/>
        <v/>
      </c>
      <c r="F166" s="109"/>
      <c r="G166" s="112"/>
      <c r="H166" s="112"/>
      <c r="I166" s="109"/>
    </row>
    <row r="167" spans="1:9" s="81" customFormat="1">
      <c r="A167" s="105"/>
      <c r="B167" s="106"/>
      <c r="C167" s="107"/>
      <c r="D167" s="107"/>
      <c r="E167" s="108" t="str">
        <f t="shared" si="2"/>
        <v/>
      </c>
      <c r="F167" s="109"/>
      <c r="G167" s="112"/>
      <c r="H167" s="112"/>
      <c r="I167" s="109"/>
    </row>
    <row r="168" spans="1:9" s="81" customFormat="1">
      <c r="A168" s="105"/>
      <c r="B168" s="106"/>
      <c r="C168" s="107"/>
      <c r="D168" s="107"/>
      <c r="E168" s="108" t="str">
        <f t="shared" si="2"/>
        <v/>
      </c>
      <c r="F168" s="109"/>
      <c r="G168" s="112"/>
      <c r="H168" s="112"/>
      <c r="I168" s="109"/>
    </row>
    <row r="169" spans="1:9" s="81" customFormat="1">
      <c r="A169" s="105"/>
      <c r="B169" s="106"/>
      <c r="C169" s="107"/>
      <c r="D169" s="107"/>
      <c r="E169" s="108" t="str">
        <f t="shared" si="2"/>
        <v/>
      </c>
      <c r="F169" s="109"/>
      <c r="G169" s="112"/>
      <c r="H169" s="112"/>
      <c r="I169" s="109"/>
    </row>
    <row r="170" spans="1:9" s="81" customFormat="1">
      <c r="A170" s="105"/>
      <c r="B170" s="106"/>
      <c r="C170" s="107"/>
      <c r="D170" s="107"/>
      <c r="E170" s="108" t="str">
        <f t="shared" si="2"/>
        <v/>
      </c>
      <c r="F170" s="109"/>
      <c r="G170" s="112"/>
      <c r="H170" s="112"/>
      <c r="I170" s="109"/>
    </row>
    <row r="171" spans="1:9" s="81" customFormat="1">
      <c r="A171" s="105"/>
      <c r="B171" s="106"/>
      <c r="C171" s="107"/>
      <c r="D171" s="107"/>
      <c r="E171" s="108" t="str">
        <f t="shared" si="2"/>
        <v/>
      </c>
      <c r="F171" s="109"/>
      <c r="G171" s="112"/>
      <c r="H171" s="112"/>
      <c r="I171" s="109"/>
    </row>
    <row r="172" spans="1:9" s="81" customFormat="1">
      <c r="A172" s="105"/>
      <c r="B172" s="106"/>
      <c r="C172" s="107"/>
      <c r="D172" s="107"/>
      <c r="E172" s="108" t="str">
        <f t="shared" si="2"/>
        <v/>
      </c>
      <c r="F172" s="109"/>
      <c r="G172" s="112"/>
      <c r="H172" s="112"/>
      <c r="I172" s="109"/>
    </row>
    <row r="173" spans="1:9" s="81" customFormat="1">
      <c r="A173" s="105"/>
      <c r="B173" s="106"/>
      <c r="C173" s="107"/>
      <c r="D173" s="107"/>
      <c r="E173" s="108" t="str">
        <f t="shared" si="2"/>
        <v/>
      </c>
      <c r="F173" s="109"/>
      <c r="G173" s="112"/>
      <c r="H173" s="112"/>
      <c r="I173" s="109"/>
    </row>
    <row r="174" spans="1:9" s="81" customFormat="1">
      <c r="A174" s="105"/>
      <c r="B174" s="106"/>
      <c r="C174" s="107"/>
      <c r="D174" s="107"/>
      <c r="E174" s="108" t="str">
        <f t="shared" si="2"/>
        <v/>
      </c>
      <c r="F174" s="109"/>
      <c r="G174" s="112"/>
      <c r="H174" s="112"/>
      <c r="I174" s="109"/>
    </row>
    <row r="175" spans="1:9" s="81" customFormat="1">
      <c r="A175" s="105"/>
      <c r="B175" s="106"/>
      <c r="C175" s="107"/>
      <c r="D175" s="107"/>
      <c r="E175" s="108" t="str">
        <f t="shared" si="2"/>
        <v/>
      </c>
      <c r="F175" s="109"/>
      <c r="G175" s="112"/>
      <c r="H175" s="112"/>
      <c r="I175" s="109"/>
    </row>
    <row r="176" spans="1:9" s="81" customFormat="1">
      <c r="A176" s="105"/>
      <c r="B176" s="106"/>
      <c r="C176" s="107"/>
      <c r="D176" s="107"/>
      <c r="E176" s="108" t="str">
        <f t="shared" si="2"/>
        <v/>
      </c>
      <c r="F176" s="109"/>
      <c r="G176" s="112"/>
      <c r="H176" s="112"/>
      <c r="I176" s="109"/>
    </row>
    <row r="177" spans="1:9" s="81" customFormat="1">
      <c r="A177" s="105"/>
      <c r="B177" s="106"/>
      <c r="C177" s="107"/>
      <c r="D177" s="107"/>
      <c r="E177" s="108" t="str">
        <f t="shared" si="2"/>
        <v/>
      </c>
      <c r="F177" s="109"/>
      <c r="G177" s="112"/>
      <c r="H177" s="112"/>
      <c r="I177" s="109"/>
    </row>
    <row r="178" spans="1:9" s="81" customFormat="1">
      <c r="A178" s="105"/>
      <c r="B178" s="106"/>
      <c r="C178" s="107"/>
      <c r="D178" s="107"/>
      <c r="E178" s="108" t="str">
        <f t="shared" si="2"/>
        <v/>
      </c>
      <c r="F178" s="109"/>
      <c r="G178" s="112"/>
      <c r="H178" s="112"/>
      <c r="I178" s="109"/>
    </row>
    <row r="179" spans="1:9" s="81" customFormat="1">
      <c r="A179" s="105"/>
      <c r="B179" s="106"/>
      <c r="C179" s="107"/>
      <c r="D179" s="107"/>
      <c r="E179" s="108" t="str">
        <f t="shared" si="2"/>
        <v/>
      </c>
      <c r="F179" s="109"/>
      <c r="G179" s="112"/>
      <c r="H179" s="112"/>
      <c r="I179" s="109"/>
    </row>
    <row r="180" spans="1:9" s="81" customFormat="1">
      <c r="A180" s="105"/>
      <c r="B180" s="106"/>
      <c r="C180" s="107"/>
      <c r="D180" s="107"/>
      <c r="E180" s="108" t="str">
        <f t="shared" si="2"/>
        <v/>
      </c>
      <c r="F180" s="109"/>
      <c r="G180" s="112"/>
      <c r="H180" s="112"/>
      <c r="I180" s="109"/>
    </row>
    <row r="181" spans="1:9" s="81" customFormat="1">
      <c r="A181" s="105"/>
      <c r="B181" s="106"/>
      <c r="C181" s="107"/>
      <c r="D181" s="107"/>
      <c r="E181" s="108" t="str">
        <f t="shared" si="2"/>
        <v/>
      </c>
      <c r="F181" s="109"/>
      <c r="G181" s="112"/>
      <c r="H181" s="112"/>
      <c r="I181" s="109"/>
    </row>
    <row r="182" spans="1:9" s="81" customFormat="1">
      <c r="A182" s="105"/>
      <c r="B182" s="106"/>
      <c r="C182" s="107"/>
      <c r="D182" s="107"/>
      <c r="E182" s="108" t="str">
        <f t="shared" si="2"/>
        <v/>
      </c>
      <c r="F182" s="109"/>
      <c r="G182" s="112"/>
      <c r="H182" s="112"/>
      <c r="I182" s="109"/>
    </row>
    <row r="183" spans="1:9" s="81" customFormat="1">
      <c r="A183" s="105"/>
      <c r="B183" s="106"/>
      <c r="C183" s="107"/>
      <c r="D183" s="107"/>
      <c r="E183" s="108" t="str">
        <f t="shared" si="2"/>
        <v/>
      </c>
      <c r="F183" s="109"/>
      <c r="G183" s="112"/>
      <c r="H183" s="112"/>
      <c r="I183" s="109"/>
    </row>
    <row r="184" spans="1:9" s="81" customFormat="1">
      <c r="A184" s="105"/>
      <c r="B184" s="106"/>
      <c r="C184" s="107"/>
      <c r="D184" s="107"/>
      <c r="E184" s="108" t="str">
        <f t="shared" si="2"/>
        <v/>
      </c>
      <c r="F184" s="109"/>
      <c r="G184" s="112"/>
      <c r="H184" s="112"/>
      <c r="I184" s="109"/>
    </row>
    <row r="185" spans="1:9" s="81" customFormat="1">
      <c r="A185" s="105"/>
      <c r="B185" s="106"/>
      <c r="C185" s="107"/>
      <c r="D185" s="107"/>
      <c r="E185" s="108" t="str">
        <f t="shared" si="2"/>
        <v/>
      </c>
      <c r="F185" s="109"/>
      <c r="G185" s="112"/>
      <c r="H185" s="112"/>
      <c r="I185" s="109"/>
    </row>
    <row r="186" spans="1:9" s="81" customFormat="1">
      <c r="A186" s="105"/>
      <c r="B186" s="106"/>
      <c r="C186" s="107"/>
      <c r="D186" s="107"/>
      <c r="E186" s="108" t="str">
        <f t="shared" si="2"/>
        <v/>
      </c>
      <c r="F186" s="109"/>
      <c r="G186" s="112"/>
      <c r="H186" s="112"/>
      <c r="I186" s="109"/>
    </row>
    <row r="187" spans="1:9" s="81" customFormat="1">
      <c r="A187" s="105"/>
      <c r="B187" s="106"/>
      <c r="C187" s="107"/>
      <c r="D187" s="107"/>
      <c r="E187" s="108" t="str">
        <f t="shared" si="2"/>
        <v/>
      </c>
      <c r="F187" s="109"/>
      <c r="G187" s="112"/>
      <c r="H187" s="112"/>
      <c r="I187" s="109"/>
    </row>
    <row r="188" spans="1:9" s="81" customFormat="1">
      <c r="A188" s="105"/>
      <c r="B188" s="106"/>
      <c r="C188" s="107"/>
      <c r="D188" s="107"/>
      <c r="E188" s="108" t="str">
        <f t="shared" si="2"/>
        <v/>
      </c>
      <c r="F188" s="109"/>
      <c r="G188" s="112"/>
      <c r="H188" s="112"/>
      <c r="I188" s="109"/>
    </row>
    <row r="189" spans="1:9" s="81" customFormat="1">
      <c r="A189" s="105"/>
      <c r="B189" s="106"/>
      <c r="C189" s="107"/>
      <c r="D189" s="107"/>
      <c r="E189" s="108" t="str">
        <f t="shared" si="2"/>
        <v/>
      </c>
      <c r="F189" s="109"/>
      <c r="G189" s="112"/>
      <c r="H189" s="112"/>
      <c r="I189" s="109"/>
    </row>
    <row r="190" spans="1:9" s="81" customFormat="1">
      <c r="A190" s="105"/>
      <c r="B190" s="106"/>
      <c r="C190" s="107"/>
      <c r="D190" s="107"/>
      <c r="E190" s="108" t="str">
        <f t="shared" si="2"/>
        <v/>
      </c>
      <c r="F190" s="109"/>
      <c r="G190" s="112"/>
      <c r="H190" s="112"/>
      <c r="I190" s="109"/>
    </row>
    <row r="191" spans="1:9" s="81" customFormat="1">
      <c r="A191" s="105"/>
      <c r="B191" s="106"/>
      <c r="C191" s="107"/>
      <c r="D191" s="107"/>
      <c r="E191" s="108" t="str">
        <f t="shared" si="2"/>
        <v/>
      </c>
      <c r="F191" s="109"/>
      <c r="G191" s="112"/>
      <c r="H191" s="112"/>
      <c r="I191" s="109"/>
    </row>
    <row r="192" spans="1:9" s="81" customFormat="1">
      <c r="A192" s="105"/>
      <c r="B192" s="106"/>
      <c r="C192" s="107"/>
      <c r="D192" s="107"/>
      <c r="E192" s="108" t="str">
        <f t="shared" si="2"/>
        <v/>
      </c>
      <c r="F192" s="109"/>
      <c r="G192" s="112"/>
      <c r="H192" s="112"/>
      <c r="I192" s="109"/>
    </row>
    <row r="193" spans="1:9" s="81" customFormat="1">
      <c r="A193" s="105"/>
      <c r="B193" s="106"/>
      <c r="C193" s="107"/>
      <c r="D193" s="107"/>
      <c r="E193" s="108" t="str">
        <f t="shared" si="2"/>
        <v/>
      </c>
      <c r="F193" s="109"/>
      <c r="G193" s="112"/>
      <c r="H193" s="112"/>
      <c r="I193" s="109"/>
    </row>
    <row r="194" spans="1:9" s="81" customFormat="1">
      <c r="A194" s="105"/>
      <c r="B194" s="106"/>
      <c r="C194" s="107"/>
      <c r="D194" s="107"/>
      <c r="E194" s="108" t="str">
        <f t="shared" si="2"/>
        <v/>
      </c>
      <c r="F194" s="109"/>
      <c r="G194" s="112"/>
      <c r="H194" s="112"/>
      <c r="I194" s="109"/>
    </row>
    <row r="195" spans="1:9" s="81" customFormat="1">
      <c r="A195" s="105"/>
      <c r="B195" s="106"/>
      <c r="C195" s="107"/>
      <c r="D195" s="107"/>
      <c r="E195" s="108" t="str">
        <f t="shared" si="2"/>
        <v/>
      </c>
      <c r="F195" s="109"/>
      <c r="G195" s="112"/>
      <c r="H195" s="112"/>
      <c r="I195" s="109"/>
    </row>
    <row r="196" spans="1:9" s="81" customFormat="1">
      <c r="A196" s="105"/>
      <c r="B196" s="106"/>
      <c r="C196" s="107"/>
      <c r="D196" s="107"/>
      <c r="E196" s="108" t="str">
        <f t="shared" si="2"/>
        <v/>
      </c>
      <c r="F196" s="109"/>
      <c r="G196" s="112"/>
      <c r="H196" s="112"/>
      <c r="I196" s="109"/>
    </row>
    <row r="197" spans="1:9" s="81" customFormat="1">
      <c r="A197" s="105"/>
      <c r="B197" s="106"/>
      <c r="C197" s="107"/>
      <c r="D197" s="107"/>
      <c r="E197" s="108" t="str">
        <f t="shared" si="2"/>
        <v/>
      </c>
      <c r="F197" s="109"/>
      <c r="G197" s="112"/>
      <c r="H197" s="112"/>
      <c r="I197" s="109"/>
    </row>
    <row r="198" spans="1:9" s="81" customFormat="1">
      <c r="A198" s="105"/>
      <c r="B198" s="106"/>
      <c r="C198" s="107"/>
      <c r="D198" s="107"/>
      <c r="E198" s="108" t="str">
        <f t="shared" si="2"/>
        <v/>
      </c>
      <c r="F198" s="109"/>
      <c r="G198" s="112"/>
      <c r="H198" s="112"/>
      <c r="I198" s="109"/>
    </row>
    <row r="199" spans="1:9" s="81" customFormat="1">
      <c r="A199" s="105"/>
      <c r="B199" s="106"/>
      <c r="C199" s="107"/>
      <c r="D199" s="107"/>
      <c r="E199" s="108" t="str">
        <f t="shared" si="2"/>
        <v/>
      </c>
      <c r="F199" s="109"/>
      <c r="G199" s="112"/>
      <c r="H199" s="112"/>
      <c r="I199" s="109"/>
    </row>
    <row r="200" spans="1:9" s="81" customFormat="1">
      <c r="A200" s="105"/>
      <c r="B200" s="106"/>
      <c r="C200" s="107"/>
      <c r="D200" s="107"/>
      <c r="E200" s="108" t="str">
        <f t="shared" si="2"/>
        <v/>
      </c>
      <c r="F200" s="109"/>
      <c r="G200" s="112"/>
      <c r="H200" s="112"/>
      <c r="I200" s="109"/>
    </row>
    <row r="201" spans="1:9" s="81" customFormat="1">
      <c r="A201" s="105"/>
      <c r="B201" s="106"/>
      <c r="C201" s="107"/>
      <c r="D201" s="107"/>
      <c r="E201" s="108" t="str">
        <f t="shared" si="2"/>
        <v/>
      </c>
      <c r="F201" s="109"/>
      <c r="G201" s="112"/>
      <c r="H201" s="112"/>
      <c r="I201" s="109"/>
    </row>
    <row r="202" spans="1:9" s="81" customFormat="1">
      <c r="A202" s="105"/>
      <c r="B202" s="106"/>
      <c r="C202" s="107"/>
      <c r="D202" s="107"/>
      <c r="E202" s="108" t="str">
        <f t="shared" si="2"/>
        <v/>
      </c>
      <c r="F202" s="109"/>
      <c r="G202" s="112"/>
      <c r="H202" s="112"/>
      <c r="I202" s="109"/>
    </row>
    <row r="203" spans="1:9" s="81" customFormat="1">
      <c r="A203" s="105"/>
      <c r="B203" s="106"/>
      <c r="C203" s="107"/>
      <c r="D203" s="107"/>
      <c r="E203" s="108" t="str">
        <f t="shared" si="2"/>
        <v/>
      </c>
      <c r="F203" s="109"/>
      <c r="G203" s="112"/>
      <c r="H203" s="112"/>
      <c r="I203" s="109"/>
    </row>
    <row r="204" spans="1:9" s="81" customFormat="1">
      <c r="A204" s="105"/>
      <c r="B204" s="106"/>
      <c r="C204" s="107"/>
      <c r="D204" s="107"/>
      <c r="E204" s="108" t="str">
        <f t="shared" si="2"/>
        <v/>
      </c>
      <c r="F204" s="109"/>
      <c r="G204" s="112"/>
      <c r="H204" s="112"/>
      <c r="I204" s="109"/>
    </row>
    <row r="205" spans="1:9" s="81" customFormat="1">
      <c r="A205" s="105"/>
      <c r="B205" s="106"/>
      <c r="C205" s="107"/>
      <c r="D205" s="107"/>
      <c r="E205" s="108" t="str">
        <f t="shared" si="2"/>
        <v/>
      </c>
      <c r="F205" s="109"/>
      <c r="G205" s="112"/>
      <c r="H205" s="112"/>
      <c r="I205" s="109"/>
    </row>
    <row r="206" spans="1:9" s="81" customFormat="1">
      <c r="A206" s="105"/>
      <c r="B206" s="106"/>
      <c r="C206" s="107"/>
      <c r="D206" s="107"/>
      <c r="E206" s="108" t="str">
        <f t="shared" ref="E206:E269" si="3">IF(C206="","",IF(D206="","",D206-C206))</f>
        <v/>
      </c>
      <c r="F206" s="109"/>
      <c r="G206" s="112"/>
      <c r="H206" s="112"/>
      <c r="I206" s="109"/>
    </row>
    <row r="207" spans="1:9" s="81" customFormat="1">
      <c r="A207" s="105"/>
      <c r="B207" s="106"/>
      <c r="C207" s="107"/>
      <c r="D207" s="107"/>
      <c r="E207" s="108" t="str">
        <f t="shared" si="3"/>
        <v/>
      </c>
      <c r="F207" s="109"/>
      <c r="G207" s="112"/>
      <c r="H207" s="112"/>
      <c r="I207" s="109"/>
    </row>
    <row r="208" spans="1:9" s="81" customFormat="1">
      <c r="A208" s="105"/>
      <c r="B208" s="106"/>
      <c r="C208" s="107"/>
      <c r="D208" s="107"/>
      <c r="E208" s="108" t="str">
        <f t="shared" si="3"/>
        <v/>
      </c>
      <c r="F208" s="109"/>
      <c r="G208" s="112"/>
      <c r="H208" s="112"/>
      <c r="I208" s="109"/>
    </row>
    <row r="209" spans="1:9" s="81" customFormat="1">
      <c r="A209" s="105"/>
      <c r="B209" s="106"/>
      <c r="C209" s="107"/>
      <c r="D209" s="107"/>
      <c r="E209" s="108" t="str">
        <f t="shared" si="3"/>
        <v/>
      </c>
      <c r="F209" s="109"/>
      <c r="G209" s="112"/>
      <c r="H209" s="112"/>
      <c r="I209" s="109"/>
    </row>
    <row r="210" spans="1:9" s="81" customFormat="1">
      <c r="A210" s="105"/>
      <c r="B210" s="106"/>
      <c r="C210" s="107"/>
      <c r="D210" s="107"/>
      <c r="E210" s="108" t="str">
        <f t="shared" si="3"/>
        <v/>
      </c>
      <c r="F210" s="109"/>
      <c r="G210" s="112"/>
      <c r="H210" s="112"/>
      <c r="I210" s="109"/>
    </row>
    <row r="211" spans="1:9" s="81" customFormat="1">
      <c r="A211" s="105"/>
      <c r="B211" s="106"/>
      <c r="C211" s="107"/>
      <c r="D211" s="107"/>
      <c r="E211" s="108" t="str">
        <f t="shared" si="3"/>
        <v/>
      </c>
      <c r="F211" s="109"/>
      <c r="G211" s="112"/>
      <c r="H211" s="112"/>
      <c r="I211" s="109"/>
    </row>
    <row r="212" spans="1:9" s="81" customFormat="1">
      <c r="A212" s="105"/>
      <c r="B212" s="106"/>
      <c r="C212" s="107"/>
      <c r="D212" s="107"/>
      <c r="E212" s="108" t="str">
        <f t="shared" si="3"/>
        <v/>
      </c>
      <c r="F212" s="109"/>
      <c r="G212" s="112"/>
      <c r="H212" s="112"/>
      <c r="I212" s="109"/>
    </row>
    <row r="213" spans="1:9" s="81" customFormat="1">
      <c r="A213" s="105"/>
      <c r="B213" s="106"/>
      <c r="C213" s="107"/>
      <c r="D213" s="107"/>
      <c r="E213" s="108" t="str">
        <f t="shared" si="3"/>
        <v/>
      </c>
      <c r="F213" s="109"/>
      <c r="G213" s="112"/>
      <c r="H213" s="112"/>
      <c r="I213" s="109"/>
    </row>
    <row r="214" spans="1:9" s="81" customFormat="1">
      <c r="A214" s="105"/>
      <c r="B214" s="106"/>
      <c r="C214" s="107"/>
      <c r="D214" s="107"/>
      <c r="E214" s="108" t="str">
        <f t="shared" si="3"/>
        <v/>
      </c>
      <c r="F214" s="109"/>
      <c r="G214" s="112"/>
      <c r="H214" s="112"/>
      <c r="I214" s="109"/>
    </row>
    <row r="215" spans="1:9" s="81" customFormat="1">
      <c r="A215" s="105"/>
      <c r="B215" s="106"/>
      <c r="C215" s="107"/>
      <c r="D215" s="107"/>
      <c r="E215" s="108" t="str">
        <f t="shared" si="3"/>
        <v/>
      </c>
      <c r="F215" s="109"/>
      <c r="G215" s="112"/>
      <c r="H215" s="112"/>
      <c r="I215" s="109"/>
    </row>
    <row r="216" spans="1:9" s="81" customFormat="1">
      <c r="A216" s="105"/>
      <c r="B216" s="106"/>
      <c r="C216" s="107"/>
      <c r="D216" s="107"/>
      <c r="E216" s="108" t="str">
        <f t="shared" si="3"/>
        <v/>
      </c>
      <c r="F216" s="109"/>
      <c r="G216" s="112"/>
      <c r="H216" s="112"/>
      <c r="I216" s="109"/>
    </row>
    <row r="217" spans="1:9" s="81" customFormat="1">
      <c r="A217" s="105"/>
      <c r="B217" s="106"/>
      <c r="C217" s="107"/>
      <c r="D217" s="107"/>
      <c r="E217" s="108" t="str">
        <f t="shared" si="3"/>
        <v/>
      </c>
      <c r="F217" s="109"/>
      <c r="G217" s="112"/>
      <c r="H217" s="112"/>
      <c r="I217" s="109"/>
    </row>
    <row r="218" spans="1:9" s="81" customFormat="1">
      <c r="A218" s="105"/>
      <c r="B218" s="106"/>
      <c r="C218" s="107"/>
      <c r="D218" s="107"/>
      <c r="E218" s="108" t="str">
        <f t="shared" si="3"/>
        <v/>
      </c>
      <c r="F218" s="109"/>
      <c r="G218" s="112"/>
      <c r="H218" s="112"/>
      <c r="I218" s="109"/>
    </row>
    <row r="219" spans="1:9" s="81" customFormat="1">
      <c r="A219" s="105"/>
      <c r="B219" s="106"/>
      <c r="C219" s="107"/>
      <c r="D219" s="107"/>
      <c r="E219" s="108" t="str">
        <f t="shared" si="3"/>
        <v/>
      </c>
      <c r="F219" s="109"/>
      <c r="G219" s="112"/>
      <c r="H219" s="112"/>
      <c r="I219" s="109"/>
    </row>
    <row r="220" spans="1:9" s="81" customFormat="1">
      <c r="A220" s="105"/>
      <c r="B220" s="106"/>
      <c r="C220" s="107"/>
      <c r="D220" s="107"/>
      <c r="E220" s="108" t="str">
        <f t="shared" si="3"/>
        <v/>
      </c>
      <c r="F220" s="109"/>
      <c r="G220" s="112"/>
      <c r="H220" s="112"/>
      <c r="I220" s="109"/>
    </row>
    <row r="221" spans="1:9" s="81" customFormat="1">
      <c r="A221" s="105"/>
      <c r="B221" s="106"/>
      <c r="C221" s="107"/>
      <c r="D221" s="107"/>
      <c r="E221" s="108" t="str">
        <f t="shared" si="3"/>
        <v/>
      </c>
      <c r="F221" s="109"/>
      <c r="G221" s="112"/>
      <c r="H221" s="112"/>
      <c r="I221" s="109"/>
    </row>
    <row r="222" spans="1:9" s="81" customFormat="1">
      <c r="A222" s="105"/>
      <c r="B222" s="106"/>
      <c r="C222" s="107"/>
      <c r="D222" s="107"/>
      <c r="E222" s="108" t="str">
        <f t="shared" si="3"/>
        <v/>
      </c>
      <c r="F222" s="109"/>
      <c r="G222" s="112"/>
      <c r="H222" s="112"/>
      <c r="I222" s="109"/>
    </row>
    <row r="223" spans="1:9" s="81" customFormat="1">
      <c r="A223" s="105"/>
      <c r="B223" s="106"/>
      <c r="C223" s="107"/>
      <c r="D223" s="107"/>
      <c r="E223" s="108" t="str">
        <f t="shared" si="3"/>
        <v/>
      </c>
      <c r="F223" s="109"/>
      <c r="G223" s="112"/>
      <c r="H223" s="112"/>
      <c r="I223" s="109"/>
    </row>
    <row r="224" spans="1:9" s="81" customFormat="1">
      <c r="A224" s="105"/>
      <c r="B224" s="106"/>
      <c r="C224" s="107"/>
      <c r="D224" s="107"/>
      <c r="E224" s="108" t="str">
        <f t="shared" si="3"/>
        <v/>
      </c>
      <c r="F224" s="109"/>
      <c r="G224" s="112"/>
      <c r="H224" s="112"/>
      <c r="I224" s="109"/>
    </row>
    <row r="225" spans="1:9" s="81" customFormat="1">
      <c r="A225" s="105"/>
      <c r="B225" s="106"/>
      <c r="C225" s="107"/>
      <c r="D225" s="107"/>
      <c r="E225" s="108" t="str">
        <f t="shared" si="3"/>
        <v/>
      </c>
      <c r="F225" s="109"/>
      <c r="G225" s="112"/>
      <c r="H225" s="112"/>
      <c r="I225" s="109"/>
    </row>
    <row r="226" spans="1:9" s="81" customFormat="1">
      <c r="A226" s="105"/>
      <c r="B226" s="106"/>
      <c r="C226" s="107"/>
      <c r="D226" s="107"/>
      <c r="E226" s="108" t="str">
        <f t="shared" si="3"/>
        <v/>
      </c>
      <c r="F226" s="109"/>
      <c r="G226" s="112"/>
      <c r="H226" s="112"/>
      <c r="I226" s="109"/>
    </row>
    <row r="227" spans="1:9" s="81" customFormat="1">
      <c r="A227" s="105"/>
      <c r="B227" s="106"/>
      <c r="C227" s="107"/>
      <c r="D227" s="107"/>
      <c r="E227" s="108" t="str">
        <f t="shared" si="3"/>
        <v/>
      </c>
      <c r="F227" s="109"/>
      <c r="G227" s="112"/>
      <c r="H227" s="112"/>
      <c r="I227" s="109"/>
    </row>
    <row r="228" spans="1:9" s="81" customFormat="1">
      <c r="A228" s="105"/>
      <c r="B228" s="106"/>
      <c r="C228" s="107"/>
      <c r="D228" s="107"/>
      <c r="E228" s="108" t="str">
        <f t="shared" si="3"/>
        <v/>
      </c>
      <c r="F228" s="109"/>
      <c r="G228" s="112"/>
      <c r="H228" s="112"/>
      <c r="I228" s="109"/>
    </row>
    <row r="229" spans="1:9" s="81" customFormat="1">
      <c r="A229" s="105"/>
      <c r="B229" s="106"/>
      <c r="C229" s="107"/>
      <c r="D229" s="107"/>
      <c r="E229" s="108" t="str">
        <f t="shared" si="3"/>
        <v/>
      </c>
      <c r="F229" s="109"/>
      <c r="G229" s="112"/>
      <c r="H229" s="112"/>
      <c r="I229" s="109"/>
    </row>
    <row r="230" spans="1:9" s="81" customFormat="1">
      <c r="A230" s="105"/>
      <c r="B230" s="106"/>
      <c r="C230" s="107"/>
      <c r="D230" s="107"/>
      <c r="E230" s="108" t="str">
        <f t="shared" si="3"/>
        <v/>
      </c>
      <c r="F230" s="109"/>
      <c r="G230" s="112"/>
      <c r="H230" s="112"/>
      <c r="I230" s="109"/>
    </row>
    <row r="231" spans="1:9" s="81" customFormat="1">
      <c r="A231" s="105"/>
      <c r="B231" s="106"/>
      <c r="C231" s="107"/>
      <c r="D231" s="107"/>
      <c r="E231" s="108" t="str">
        <f t="shared" si="3"/>
        <v/>
      </c>
      <c r="F231" s="109"/>
      <c r="G231" s="112"/>
      <c r="H231" s="112"/>
      <c r="I231" s="109"/>
    </row>
    <row r="232" spans="1:9" s="81" customFormat="1">
      <c r="A232" s="105"/>
      <c r="B232" s="106"/>
      <c r="C232" s="107"/>
      <c r="D232" s="107"/>
      <c r="E232" s="108" t="str">
        <f t="shared" si="3"/>
        <v/>
      </c>
      <c r="F232" s="109"/>
      <c r="G232" s="112"/>
      <c r="H232" s="112"/>
      <c r="I232" s="109"/>
    </row>
    <row r="233" spans="1:9" s="81" customFormat="1">
      <c r="A233" s="105"/>
      <c r="B233" s="106"/>
      <c r="C233" s="107"/>
      <c r="D233" s="107"/>
      <c r="E233" s="108" t="str">
        <f t="shared" si="3"/>
        <v/>
      </c>
      <c r="F233" s="109"/>
      <c r="G233" s="112"/>
      <c r="H233" s="112"/>
      <c r="I233" s="109"/>
    </row>
    <row r="234" spans="1:9" s="81" customFormat="1">
      <c r="A234" s="105"/>
      <c r="B234" s="106"/>
      <c r="C234" s="107"/>
      <c r="D234" s="107"/>
      <c r="E234" s="108" t="str">
        <f t="shared" si="3"/>
        <v/>
      </c>
      <c r="F234" s="109"/>
      <c r="G234" s="112"/>
      <c r="H234" s="112"/>
      <c r="I234" s="109"/>
    </row>
    <row r="235" spans="1:9" s="81" customFormat="1">
      <c r="A235" s="105"/>
      <c r="B235" s="106"/>
      <c r="C235" s="107"/>
      <c r="D235" s="107"/>
      <c r="E235" s="108" t="str">
        <f t="shared" si="3"/>
        <v/>
      </c>
      <c r="F235" s="109"/>
      <c r="G235" s="112"/>
      <c r="H235" s="112"/>
      <c r="I235" s="109"/>
    </row>
    <row r="236" spans="1:9" s="81" customFormat="1">
      <c r="A236" s="105"/>
      <c r="B236" s="106"/>
      <c r="C236" s="107"/>
      <c r="D236" s="107"/>
      <c r="E236" s="108" t="str">
        <f t="shared" si="3"/>
        <v/>
      </c>
      <c r="F236" s="109"/>
      <c r="G236" s="112"/>
      <c r="H236" s="112"/>
      <c r="I236" s="109"/>
    </row>
    <row r="237" spans="1:9" s="81" customFormat="1">
      <c r="A237" s="105"/>
      <c r="B237" s="106"/>
      <c r="C237" s="107"/>
      <c r="D237" s="107"/>
      <c r="E237" s="108" t="str">
        <f t="shared" si="3"/>
        <v/>
      </c>
      <c r="F237" s="109"/>
      <c r="G237" s="112"/>
      <c r="H237" s="112"/>
      <c r="I237" s="109"/>
    </row>
    <row r="238" spans="1:9" s="81" customFormat="1">
      <c r="A238" s="105"/>
      <c r="B238" s="106"/>
      <c r="C238" s="107"/>
      <c r="D238" s="107"/>
      <c r="E238" s="108" t="str">
        <f t="shared" si="3"/>
        <v/>
      </c>
      <c r="F238" s="109"/>
      <c r="G238" s="112"/>
      <c r="H238" s="112"/>
      <c r="I238" s="109"/>
    </row>
    <row r="239" spans="1:9" s="81" customFormat="1">
      <c r="A239" s="105"/>
      <c r="B239" s="106"/>
      <c r="C239" s="107"/>
      <c r="D239" s="107"/>
      <c r="E239" s="108" t="str">
        <f t="shared" si="3"/>
        <v/>
      </c>
      <c r="F239" s="109"/>
      <c r="G239" s="112"/>
      <c r="H239" s="112"/>
      <c r="I239" s="109"/>
    </row>
    <row r="240" spans="1:9" s="81" customFormat="1">
      <c r="A240" s="105"/>
      <c r="B240" s="106"/>
      <c r="C240" s="107"/>
      <c r="D240" s="107"/>
      <c r="E240" s="108" t="str">
        <f t="shared" si="3"/>
        <v/>
      </c>
      <c r="F240" s="109"/>
      <c r="G240" s="112"/>
      <c r="H240" s="112"/>
      <c r="I240" s="109"/>
    </row>
    <row r="241" spans="1:9" s="81" customFormat="1">
      <c r="A241" s="105"/>
      <c r="B241" s="106"/>
      <c r="C241" s="107"/>
      <c r="D241" s="107"/>
      <c r="E241" s="108" t="str">
        <f t="shared" si="3"/>
        <v/>
      </c>
      <c r="F241" s="109"/>
      <c r="G241" s="112"/>
      <c r="H241" s="112"/>
      <c r="I241" s="109"/>
    </row>
    <row r="242" spans="1:9" s="81" customFormat="1">
      <c r="A242" s="105"/>
      <c r="B242" s="106"/>
      <c r="C242" s="107"/>
      <c r="D242" s="107"/>
      <c r="E242" s="108" t="str">
        <f t="shared" si="3"/>
        <v/>
      </c>
      <c r="F242" s="109"/>
      <c r="G242" s="112"/>
      <c r="H242" s="112"/>
      <c r="I242" s="109"/>
    </row>
    <row r="243" spans="1:9" s="81" customFormat="1">
      <c r="A243" s="105"/>
      <c r="B243" s="106"/>
      <c r="C243" s="107"/>
      <c r="D243" s="107"/>
      <c r="E243" s="108" t="str">
        <f t="shared" si="3"/>
        <v/>
      </c>
      <c r="F243" s="109"/>
      <c r="G243" s="112"/>
      <c r="H243" s="112"/>
      <c r="I243" s="109"/>
    </row>
    <row r="244" spans="1:9" s="81" customFormat="1">
      <c r="A244" s="105"/>
      <c r="B244" s="106"/>
      <c r="C244" s="107"/>
      <c r="D244" s="107"/>
      <c r="E244" s="108" t="str">
        <f t="shared" si="3"/>
        <v/>
      </c>
      <c r="F244" s="109"/>
      <c r="G244" s="112"/>
      <c r="H244" s="112"/>
      <c r="I244" s="109"/>
    </row>
    <row r="245" spans="1:9" s="81" customFormat="1">
      <c r="A245" s="105"/>
      <c r="B245" s="106"/>
      <c r="C245" s="107"/>
      <c r="D245" s="107"/>
      <c r="E245" s="108" t="str">
        <f t="shared" si="3"/>
        <v/>
      </c>
      <c r="F245" s="109"/>
      <c r="G245" s="112"/>
      <c r="H245" s="112"/>
      <c r="I245" s="109"/>
    </row>
    <row r="246" spans="1:9" s="81" customFormat="1">
      <c r="A246" s="105"/>
      <c r="B246" s="106"/>
      <c r="C246" s="107"/>
      <c r="D246" s="107"/>
      <c r="E246" s="108" t="str">
        <f t="shared" si="3"/>
        <v/>
      </c>
      <c r="F246" s="109"/>
      <c r="G246" s="112"/>
      <c r="H246" s="112"/>
      <c r="I246" s="109"/>
    </row>
    <row r="247" spans="1:9" s="81" customFormat="1">
      <c r="A247" s="105"/>
      <c r="B247" s="106"/>
      <c r="C247" s="107"/>
      <c r="D247" s="107"/>
      <c r="E247" s="108" t="str">
        <f t="shared" si="3"/>
        <v/>
      </c>
      <c r="F247" s="109"/>
      <c r="G247" s="112"/>
      <c r="H247" s="112"/>
      <c r="I247" s="109"/>
    </row>
    <row r="248" spans="1:9" s="81" customFormat="1">
      <c r="A248" s="105"/>
      <c r="B248" s="106"/>
      <c r="C248" s="107"/>
      <c r="D248" s="107"/>
      <c r="E248" s="108" t="str">
        <f t="shared" si="3"/>
        <v/>
      </c>
      <c r="F248" s="109"/>
      <c r="G248" s="112"/>
      <c r="H248" s="112"/>
      <c r="I248" s="109"/>
    </row>
    <row r="249" spans="1:9" s="81" customFormat="1">
      <c r="A249" s="105"/>
      <c r="B249" s="106"/>
      <c r="C249" s="107"/>
      <c r="D249" s="107"/>
      <c r="E249" s="108" t="str">
        <f t="shared" si="3"/>
        <v/>
      </c>
      <c r="F249" s="109"/>
      <c r="G249" s="112"/>
      <c r="H249" s="112"/>
      <c r="I249" s="109"/>
    </row>
    <row r="250" spans="1:9" s="81" customFormat="1">
      <c r="A250" s="105"/>
      <c r="B250" s="106"/>
      <c r="C250" s="107"/>
      <c r="D250" s="107"/>
      <c r="E250" s="108" t="str">
        <f t="shared" si="3"/>
        <v/>
      </c>
      <c r="F250" s="109"/>
      <c r="G250" s="112"/>
      <c r="H250" s="112"/>
      <c r="I250" s="109"/>
    </row>
    <row r="251" spans="1:9" s="81" customFormat="1">
      <c r="A251" s="105"/>
      <c r="B251" s="106"/>
      <c r="C251" s="107"/>
      <c r="D251" s="107"/>
      <c r="E251" s="108" t="str">
        <f t="shared" si="3"/>
        <v/>
      </c>
      <c r="F251" s="109"/>
      <c r="G251" s="112"/>
      <c r="H251" s="112"/>
      <c r="I251" s="109"/>
    </row>
    <row r="252" spans="1:9" s="81" customFormat="1">
      <c r="A252" s="105"/>
      <c r="B252" s="106"/>
      <c r="C252" s="107"/>
      <c r="D252" s="107"/>
      <c r="E252" s="108" t="str">
        <f t="shared" si="3"/>
        <v/>
      </c>
      <c r="F252" s="109"/>
      <c r="G252" s="112"/>
      <c r="H252" s="112"/>
      <c r="I252" s="109"/>
    </row>
    <row r="253" spans="1:9" s="81" customFormat="1">
      <c r="A253" s="105"/>
      <c r="B253" s="106"/>
      <c r="C253" s="107"/>
      <c r="D253" s="107"/>
      <c r="E253" s="108" t="str">
        <f t="shared" si="3"/>
        <v/>
      </c>
      <c r="F253" s="109"/>
      <c r="G253" s="112"/>
      <c r="H253" s="112"/>
      <c r="I253" s="109"/>
    </row>
    <row r="254" spans="1:9" s="81" customFormat="1">
      <c r="A254" s="105"/>
      <c r="B254" s="106"/>
      <c r="C254" s="107"/>
      <c r="D254" s="107"/>
      <c r="E254" s="108" t="str">
        <f t="shared" si="3"/>
        <v/>
      </c>
      <c r="F254" s="109"/>
      <c r="G254" s="112"/>
      <c r="H254" s="112"/>
      <c r="I254" s="109"/>
    </row>
    <row r="255" spans="1:9" s="81" customFormat="1">
      <c r="A255" s="105"/>
      <c r="B255" s="106"/>
      <c r="C255" s="107"/>
      <c r="D255" s="107"/>
      <c r="E255" s="108" t="str">
        <f t="shared" si="3"/>
        <v/>
      </c>
      <c r="F255" s="109"/>
      <c r="G255" s="112"/>
      <c r="H255" s="112"/>
      <c r="I255" s="109"/>
    </row>
    <row r="256" spans="1:9" s="81" customFormat="1">
      <c r="A256" s="105"/>
      <c r="B256" s="106"/>
      <c r="C256" s="107"/>
      <c r="D256" s="107"/>
      <c r="E256" s="108" t="str">
        <f t="shared" si="3"/>
        <v/>
      </c>
      <c r="F256" s="109"/>
      <c r="G256" s="112"/>
      <c r="H256" s="112"/>
      <c r="I256" s="109"/>
    </row>
    <row r="257" spans="1:9" s="81" customFormat="1">
      <c r="A257" s="105"/>
      <c r="B257" s="106"/>
      <c r="C257" s="107"/>
      <c r="D257" s="107"/>
      <c r="E257" s="108" t="str">
        <f t="shared" si="3"/>
        <v/>
      </c>
      <c r="F257" s="109"/>
      <c r="G257" s="112"/>
      <c r="H257" s="112"/>
      <c r="I257" s="109"/>
    </row>
    <row r="258" spans="1:9" s="81" customFormat="1">
      <c r="A258" s="105"/>
      <c r="B258" s="106"/>
      <c r="C258" s="107"/>
      <c r="D258" s="107"/>
      <c r="E258" s="108" t="str">
        <f t="shared" si="3"/>
        <v/>
      </c>
      <c r="F258" s="109"/>
      <c r="G258" s="112"/>
      <c r="H258" s="112"/>
      <c r="I258" s="109"/>
    </row>
    <row r="259" spans="1:9" s="81" customFormat="1">
      <c r="A259" s="105"/>
      <c r="B259" s="106"/>
      <c r="C259" s="107"/>
      <c r="D259" s="107"/>
      <c r="E259" s="108" t="str">
        <f t="shared" si="3"/>
        <v/>
      </c>
      <c r="F259" s="109"/>
      <c r="G259" s="112"/>
      <c r="H259" s="112"/>
      <c r="I259" s="109"/>
    </row>
    <row r="260" spans="1:9" s="81" customFormat="1">
      <c r="A260" s="105"/>
      <c r="B260" s="106"/>
      <c r="C260" s="107"/>
      <c r="D260" s="107"/>
      <c r="E260" s="108" t="str">
        <f t="shared" si="3"/>
        <v/>
      </c>
      <c r="F260" s="109"/>
      <c r="G260" s="112"/>
      <c r="H260" s="112"/>
      <c r="I260" s="109"/>
    </row>
    <row r="261" spans="1:9" s="81" customFormat="1">
      <c r="A261" s="105"/>
      <c r="B261" s="106"/>
      <c r="C261" s="107"/>
      <c r="D261" s="107"/>
      <c r="E261" s="108" t="str">
        <f t="shared" si="3"/>
        <v/>
      </c>
      <c r="F261" s="109"/>
      <c r="G261" s="112"/>
      <c r="H261" s="112"/>
      <c r="I261" s="109"/>
    </row>
    <row r="262" spans="1:9" s="81" customFormat="1">
      <c r="A262" s="105"/>
      <c r="B262" s="106"/>
      <c r="C262" s="107"/>
      <c r="D262" s="107"/>
      <c r="E262" s="108" t="str">
        <f t="shared" si="3"/>
        <v/>
      </c>
      <c r="F262" s="109"/>
      <c r="G262" s="112"/>
      <c r="H262" s="112"/>
      <c r="I262" s="109"/>
    </row>
    <row r="263" spans="1:9" s="81" customFormat="1">
      <c r="A263" s="105"/>
      <c r="B263" s="106"/>
      <c r="C263" s="107"/>
      <c r="D263" s="107"/>
      <c r="E263" s="108" t="str">
        <f t="shared" si="3"/>
        <v/>
      </c>
      <c r="F263" s="109"/>
      <c r="G263" s="112"/>
      <c r="H263" s="112"/>
      <c r="I263" s="109"/>
    </row>
    <row r="264" spans="1:9" s="81" customFormat="1">
      <c r="A264" s="105"/>
      <c r="B264" s="106"/>
      <c r="C264" s="107"/>
      <c r="D264" s="107"/>
      <c r="E264" s="108" t="str">
        <f t="shared" si="3"/>
        <v/>
      </c>
      <c r="F264" s="109"/>
      <c r="G264" s="112"/>
      <c r="H264" s="112"/>
      <c r="I264" s="109"/>
    </row>
    <row r="265" spans="1:9" s="81" customFormat="1">
      <c r="A265" s="105"/>
      <c r="B265" s="106"/>
      <c r="C265" s="107"/>
      <c r="D265" s="107"/>
      <c r="E265" s="108" t="str">
        <f t="shared" si="3"/>
        <v/>
      </c>
      <c r="F265" s="109"/>
      <c r="G265" s="112"/>
      <c r="H265" s="112"/>
      <c r="I265" s="109"/>
    </row>
    <row r="266" spans="1:9" s="81" customFormat="1">
      <c r="A266" s="105"/>
      <c r="B266" s="106"/>
      <c r="C266" s="107"/>
      <c r="D266" s="107"/>
      <c r="E266" s="108" t="str">
        <f t="shared" si="3"/>
        <v/>
      </c>
      <c r="F266" s="109"/>
      <c r="G266" s="112"/>
      <c r="H266" s="112"/>
      <c r="I266" s="109"/>
    </row>
    <row r="267" spans="1:9" s="81" customFormat="1">
      <c r="A267" s="105"/>
      <c r="B267" s="106"/>
      <c r="C267" s="107"/>
      <c r="D267" s="107"/>
      <c r="E267" s="108" t="str">
        <f t="shared" si="3"/>
        <v/>
      </c>
      <c r="F267" s="109"/>
      <c r="G267" s="112"/>
      <c r="H267" s="112"/>
      <c r="I267" s="109"/>
    </row>
    <row r="268" spans="1:9" s="81" customFormat="1">
      <c r="A268" s="105"/>
      <c r="B268" s="106"/>
      <c r="C268" s="107"/>
      <c r="D268" s="107"/>
      <c r="E268" s="108" t="str">
        <f t="shared" si="3"/>
        <v/>
      </c>
      <c r="F268" s="109"/>
      <c r="G268" s="112"/>
      <c r="H268" s="112"/>
      <c r="I268" s="109"/>
    </row>
    <row r="269" spans="1:9" s="81" customFormat="1">
      <c r="A269" s="105"/>
      <c r="B269" s="106"/>
      <c r="C269" s="107"/>
      <c r="D269" s="107"/>
      <c r="E269" s="108" t="str">
        <f t="shared" si="3"/>
        <v/>
      </c>
      <c r="F269" s="109"/>
      <c r="G269" s="112"/>
      <c r="H269" s="112"/>
      <c r="I269" s="109"/>
    </row>
    <row r="270" spans="1:9" s="81" customFormat="1">
      <c r="A270" s="105"/>
      <c r="B270" s="106"/>
      <c r="C270" s="107"/>
      <c r="D270" s="107"/>
      <c r="E270" s="108" t="str">
        <f t="shared" ref="E270:E333" si="4">IF(C270="","",IF(D270="","",D270-C270))</f>
        <v/>
      </c>
      <c r="F270" s="109"/>
      <c r="G270" s="112"/>
      <c r="H270" s="112"/>
      <c r="I270" s="109"/>
    </row>
    <row r="271" spans="1:9" s="81" customFormat="1">
      <c r="A271" s="105"/>
      <c r="B271" s="106"/>
      <c r="C271" s="107"/>
      <c r="D271" s="107"/>
      <c r="E271" s="108" t="str">
        <f t="shared" si="4"/>
        <v/>
      </c>
      <c r="F271" s="109"/>
      <c r="G271" s="112"/>
      <c r="H271" s="112"/>
      <c r="I271" s="109"/>
    </row>
    <row r="272" spans="1:9" s="81" customFormat="1">
      <c r="A272" s="105"/>
      <c r="B272" s="106"/>
      <c r="C272" s="107"/>
      <c r="D272" s="107"/>
      <c r="E272" s="108" t="str">
        <f t="shared" si="4"/>
        <v/>
      </c>
      <c r="F272" s="109"/>
      <c r="G272" s="112"/>
      <c r="H272" s="112"/>
      <c r="I272" s="109"/>
    </row>
    <row r="273" spans="1:9" s="81" customFormat="1">
      <c r="A273" s="105"/>
      <c r="B273" s="106"/>
      <c r="C273" s="107"/>
      <c r="D273" s="107"/>
      <c r="E273" s="108" t="str">
        <f t="shared" si="4"/>
        <v/>
      </c>
      <c r="F273" s="109"/>
      <c r="G273" s="112"/>
      <c r="H273" s="112"/>
      <c r="I273" s="109"/>
    </row>
    <row r="274" spans="1:9" s="81" customFormat="1">
      <c r="A274" s="105"/>
      <c r="B274" s="106"/>
      <c r="C274" s="107"/>
      <c r="D274" s="107"/>
      <c r="E274" s="108" t="str">
        <f t="shared" si="4"/>
        <v/>
      </c>
      <c r="F274" s="109"/>
      <c r="G274" s="112"/>
      <c r="H274" s="112"/>
      <c r="I274" s="109"/>
    </row>
    <row r="275" spans="1:9" s="81" customFormat="1">
      <c r="A275" s="105"/>
      <c r="B275" s="106"/>
      <c r="C275" s="107"/>
      <c r="D275" s="107"/>
      <c r="E275" s="108" t="str">
        <f t="shared" si="4"/>
        <v/>
      </c>
      <c r="F275" s="109"/>
      <c r="G275" s="112"/>
      <c r="H275" s="112"/>
      <c r="I275" s="109"/>
    </row>
    <row r="276" spans="1:9" s="81" customFormat="1">
      <c r="A276" s="105"/>
      <c r="B276" s="106"/>
      <c r="C276" s="107"/>
      <c r="D276" s="107"/>
      <c r="E276" s="108" t="str">
        <f t="shared" si="4"/>
        <v/>
      </c>
      <c r="F276" s="109"/>
      <c r="G276" s="112"/>
      <c r="H276" s="112"/>
      <c r="I276" s="109"/>
    </row>
    <row r="277" spans="1:9" s="81" customFormat="1">
      <c r="A277" s="105"/>
      <c r="B277" s="106"/>
      <c r="C277" s="107"/>
      <c r="D277" s="107"/>
      <c r="E277" s="108" t="str">
        <f t="shared" si="4"/>
        <v/>
      </c>
      <c r="F277" s="109"/>
      <c r="G277" s="112"/>
      <c r="H277" s="112"/>
      <c r="I277" s="109"/>
    </row>
    <row r="278" spans="1:9" s="81" customFormat="1">
      <c r="A278" s="105"/>
      <c r="B278" s="106"/>
      <c r="C278" s="107"/>
      <c r="D278" s="107"/>
      <c r="E278" s="108" t="str">
        <f t="shared" si="4"/>
        <v/>
      </c>
      <c r="F278" s="109"/>
      <c r="G278" s="112"/>
      <c r="H278" s="112"/>
      <c r="I278" s="109"/>
    </row>
    <row r="279" spans="1:9" s="81" customFormat="1">
      <c r="A279" s="105"/>
      <c r="B279" s="106"/>
      <c r="C279" s="107"/>
      <c r="D279" s="107"/>
      <c r="E279" s="108" t="str">
        <f t="shared" si="4"/>
        <v/>
      </c>
      <c r="F279" s="109"/>
      <c r="G279" s="112"/>
      <c r="H279" s="112"/>
      <c r="I279" s="109"/>
    </row>
    <row r="280" spans="1:9" s="81" customFormat="1">
      <c r="A280" s="105"/>
      <c r="B280" s="106"/>
      <c r="C280" s="107"/>
      <c r="D280" s="107"/>
      <c r="E280" s="108" t="str">
        <f t="shared" si="4"/>
        <v/>
      </c>
      <c r="F280" s="109"/>
      <c r="G280" s="112"/>
      <c r="H280" s="112"/>
      <c r="I280" s="109"/>
    </row>
    <row r="281" spans="1:9" s="81" customFormat="1">
      <c r="A281" s="105"/>
      <c r="B281" s="106"/>
      <c r="C281" s="107"/>
      <c r="D281" s="107"/>
      <c r="E281" s="108" t="str">
        <f t="shared" si="4"/>
        <v/>
      </c>
      <c r="F281" s="109"/>
      <c r="G281" s="112"/>
      <c r="H281" s="112"/>
      <c r="I281" s="109"/>
    </row>
    <row r="282" spans="1:9" s="81" customFormat="1">
      <c r="A282" s="105"/>
      <c r="B282" s="106"/>
      <c r="C282" s="107"/>
      <c r="D282" s="107"/>
      <c r="E282" s="108" t="str">
        <f t="shared" si="4"/>
        <v/>
      </c>
      <c r="F282" s="109"/>
      <c r="G282" s="112"/>
      <c r="H282" s="112"/>
      <c r="I282" s="109"/>
    </row>
    <row r="283" spans="1:9" s="81" customFormat="1">
      <c r="A283" s="105"/>
      <c r="B283" s="106"/>
      <c r="C283" s="107"/>
      <c r="D283" s="107"/>
      <c r="E283" s="108" t="str">
        <f t="shared" si="4"/>
        <v/>
      </c>
      <c r="F283" s="109"/>
      <c r="G283" s="112"/>
      <c r="H283" s="112"/>
      <c r="I283" s="109"/>
    </row>
    <row r="284" spans="1:9" s="81" customFormat="1">
      <c r="A284" s="105"/>
      <c r="B284" s="106"/>
      <c r="C284" s="107"/>
      <c r="D284" s="107"/>
      <c r="E284" s="108" t="str">
        <f t="shared" si="4"/>
        <v/>
      </c>
      <c r="F284" s="109"/>
      <c r="G284" s="112"/>
      <c r="H284" s="112"/>
      <c r="I284" s="109"/>
    </row>
    <row r="285" spans="1:9" s="81" customFormat="1">
      <c r="A285" s="105"/>
      <c r="B285" s="106"/>
      <c r="C285" s="107"/>
      <c r="D285" s="107"/>
      <c r="E285" s="108" t="str">
        <f t="shared" si="4"/>
        <v/>
      </c>
      <c r="F285" s="109"/>
      <c r="G285" s="112"/>
      <c r="H285" s="112"/>
      <c r="I285" s="109"/>
    </row>
    <row r="286" spans="1:9" s="81" customFormat="1">
      <c r="A286" s="105"/>
      <c r="B286" s="106"/>
      <c r="C286" s="107"/>
      <c r="D286" s="107"/>
      <c r="E286" s="108" t="str">
        <f t="shared" si="4"/>
        <v/>
      </c>
      <c r="F286" s="109"/>
      <c r="G286" s="112"/>
      <c r="H286" s="112"/>
      <c r="I286" s="109"/>
    </row>
    <row r="287" spans="1:9" s="81" customFormat="1">
      <c r="A287" s="105"/>
      <c r="B287" s="106"/>
      <c r="C287" s="107"/>
      <c r="D287" s="107"/>
      <c r="E287" s="108" t="str">
        <f t="shared" si="4"/>
        <v/>
      </c>
      <c r="F287" s="109"/>
      <c r="G287" s="112"/>
      <c r="H287" s="112"/>
      <c r="I287" s="109"/>
    </row>
    <row r="288" spans="1:9" s="81" customFormat="1">
      <c r="A288" s="105"/>
      <c r="B288" s="106"/>
      <c r="C288" s="107"/>
      <c r="D288" s="107"/>
      <c r="E288" s="108" t="str">
        <f t="shared" si="4"/>
        <v/>
      </c>
      <c r="F288" s="109"/>
      <c r="G288" s="112"/>
      <c r="H288" s="112"/>
      <c r="I288" s="109"/>
    </row>
    <row r="289" spans="1:9" s="81" customFormat="1">
      <c r="A289" s="105"/>
      <c r="B289" s="106"/>
      <c r="C289" s="107"/>
      <c r="D289" s="107"/>
      <c r="E289" s="108" t="str">
        <f t="shared" si="4"/>
        <v/>
      </c>
      <c r="F289" s="109"/>
      <c r="G289" s="112"/>
      <c r="H289" s="112"/>
      <c r="I289" s="109"/>
    </row>
    <row r="290" spans="1:9" s="81" customFormat="1">
      <c r="A290" s="105"/>
      <c r="B290" s="106"/>
      <c r="C290" s="107"/>
      <c r="D290" s="107"/>
      <c r="E290" s="108" t="str">
        <f t="shared" si="4"/>
        <v/>
      </c>
      <c r="F290" s="109"/>
      <c r="G290" s="112"/>
      <c r="H290" s="112"/>
      <c r="I290" s="109"/>
    </row>
    <row r="291" spans="1:9" s="81" customFormat="1">
      <c r="A291" s="105"/>
      <c r="B291" s="106"/>
      <c r="C291" s="107"/>
      <c r="D291" s="107"/>
      <c r="E291" s="108" t="str">
        <f t="shared" si="4"/>
        <v/>
      </c>
      <c r="F291" s="109"/>
      <c r="G291" s="112"/>
      <c r="H291" s="112"/>
      <c r="I291" s="109"/>
    </row>
    <row r="292" spans="1:9" s="81" customFormat="1">
      <c r="A292" s="105"/>
      <c r="B292" s="106"/>
      <c r="C292" s="107"/>
      <c r="D292" s="107"/>
      <c r="E292" s="108" t="str">
        <f t="shared" si="4"/>
        <v/>
      </c>
      <c r="F292" s="109"/>
      <c r="G292" s="112"/>
      <c r="H292" s="112"/>
      <c r="I292" s="109"/>
    </row>
    <row r="293" spans="1:9" s="81" customFormat="1">
      <c r="A293" s="105"/>
      <c r="B293" s="106"/>
      <c r="C293" s="107"/>
      <c r="D293" s="107"/>
      <c r="E293" s="108" t="str">
        <f t="shared" si="4"/>
        <v/>
      </c>
      <c r="F293" s="109"/>
      <c r="G293" s="112"/>
      <c r="H293" s="112"/>
      <c r="I293" s="109"/>
    </row>
    <row r="294" spans="1:9" s="81" customFormat="1">
      <c r="A294" s="105"/>
      <c r="B294" s="106"/>
      <c r="C294" s="107"/>
      <c r="D294" s="107"/>
      <c r="E294" s="108" t="str">
        <f t="shared" si="4"/>
        <v/>
      </c>
      <c r="F294" s="109"/>
      <c r="G294" s="112"/>
      <c r="H294" s="112"/>
      <c r="I294" s="109"/>
    </row>
    <row r="295" spans="1:9" s="81" customFormat="1">
      <c r="A295" s="105"/>
      <c r="B295" s="106"/>
      <c r="C295" s="107"/>
      <c r="D295" s="107"/>
      <c r="E295" s="108" t="str">
        <f t="shared" si="4"/>
        <v/>
      </c>
      <c r="F295" s="109"/>
      <c r="G295" s="112"/>
      <c r="H295" s="112"/>
      <c r="I295" s="109"/>
    </row>
    <row r="296" spans="1:9" s="81" customFormat="1">
      <c r="A296" s="105"/>
      <c r="B296" s="106"/>
      <c r="C296" s="107"/>
      <c r="D296" s="107"/>
      <c r="E296" s="108" t="str">
        <f t="shared" si="4"/>
        <v/>
      </c>
      <c r="F296" s="109"/>
      <c r="G296" s="112"/>
      <c r="H296" s="112"/>
      <c r="I296" s="109"/>
    </row>
    <row r="297" spans="1:9" s="81" customFormat="1">
      <c r="A297" s="105"/>
      <c r="B297" s="106"/>
      <c r="C297" s="107"/>
      <c r="D297" s="107"/>
      <c r="E297" s="108" t="str">
        <f t="shared" si="4"/>
        <v/>
      </c>
      <c r="F297" s="109"/>
      <c r="G297" s="112"/>
      <c r="H297" s="112"/>
      <c r="I297" s="109"/>
    </row>
    <row r="298" spans="1:9" s="81" customFormat="1">
      <c r="A298" s="105"/>
      <c r="B298" s="106"/>
      <c r="C298" s="107"/>
      <c r="D298" s="107"/>
      <c r="E298" s="108" t="str">
        <f t="shared" si="4"/>
        <v/>
      </c>
      <c r="F298" s="109"/>
      <c r="G298" s="112"/>
      <c r="H298" s="112"/>
      <c r="I298" s="109"/>
    </row>
    <row r="299" spans="1:9" s="81" customFormat="1">
      <c r="A299" s="105"/>
      <c r="B299" s="106"/>
      <c r="C299" s="107"/>
      <c r="D299" s="107"/>
      <c r="E299" s="108" t="str">
        <f t="shared" si="4"/>
        <v/>
      </c>
      <c r="F299" s="109"/>
      <c r="G299" s="112"/>
      <c r="H299" s="112"/>
      <c r="I299" s="109"/>
    </row>
    <row r="300" spans="1:9" s="81" customFormat="1">
      <c r="A300" s="105"/>
      <c r="B300" s="106"/>
      <c r="C300" s="107"/>
      <c r="D300" s="107"/>
      <c r="E300" s="108" t="str">
        <f t="shared" si="4"/>
        <v/>
      </c>
      <c r="F300" s="109"/>
      <c r="G300" s="112"/>
      <c r="H300" s="112"/>
      <c r="I300" s="109"/>
    </row>
    <row r="301" spans="1:9" s="81" customFormat="1">
      <c r="A301" s="105"/>
      <c r="B301" s="106"/>
      <c r="C301" s="107"/>
      <c r="D301" s="107"/>
      <c r="E301" s="108" t="str">
        <f t="shared" si="4"/>
        <v/>
      </c>
      <c r="F301" s="109"/>
      <c r="G301" s="112"/>
      <c r="H301" s="112"/>
      <c r="I301" s="109"/>
    </row>
    <row r="302" spans="1:9" s="81" customFormat="1">
      <c r="A302" s="105"/>
      <c r="B302" s="106"/>
      <c r="C302" s="107"/>
      <c r="D302" s="107"/>
      <c r="E302" s="108" t="str">
        <f t="shared" si="4"/>
        <v/>
      </c>
      <c r="F302" s="109"/>
      <c r="G302" s="112"/>
      <c r="H302" s="112"/>
      <c r="I302" s="109"/>
    </row>
    <row r="303" spans="1:9" s="81" customFormat="1">
      <c r="A303" s="105"/>
      <c r="B303" s="106"/>
      <c r="C303" s="107"/>
      <c r="D303" s="107"/>
      <c r="E303" s="108" t="str">
        <f t="shared" si="4"/>
        <v/>
      </c>
      <c r="F303" s="109"/>
      <c r="G303" s="112"/>
      <c r="H303" s="112"/>
      <c r="I303" s="109"/>
    </row>
    <row r="304" spans="1:9" s="81" customFormat="1">
      <c r="A304" s="105"/>
      <c r="B304" s="106"/>
      <c r="C304" s="107"/>
      <c r="D304" s="107"/>
      <c r="E304" s="108" t="str">
        <f t="shared" si="4"/>
        <v/>
      </c>
      <c r="F304" s="109"/>
      <c r="G304" s="112"/>
      <c r="H304" s="112"/>
      <c r="I304" s="109"/>
    </row>
    <row r="305" spans="1:9" s="81" customFormat="1">
      <c r="A305" s="105"/>
      <c r="B305" s="106"/>
      <c r="C305" s="107"/>
      <c r="D305" s="107"/>
      <c r="E305" s="108" t="str">
        <f t="shared" si="4"/>
        <v/>
      </c>
      <c r="F305" s="109"/>
      <c r="G305" s="112"/>
      <c r="H305" s="112"/>
      <c r="I305" s="109"/>
    </row>
    <row r="306" spans="1:9" s="81" customFormat="1">
      <c r="A306" s="105"/>
      <c r="B306" s="106"/>
      <c r="C306" s="107"/>
      <c r="D306" s="107"/>
      <c r="E306" s="108" t="str">
        <f t="shared" si="4"/>
        <v/>
      </c>
      <c r="F306" s="109"/>
      <c r="G306" s="112"/>
      <c r="H306" s="112"/>
      <c r="I306" s="109"/>
    </row>
    <row r="307" spans="1:9" s="81" customFormat="1">
      <c r="A307" s="105"/>
      <c r="B307" s="106"/>
      <c r="C307" s="107"/>
      <c r="D307" s="107"/>
      <c r="E307" s="108" t="str">
        <f t="shared" si="4"/>
        <v/>
      </c>
      <c r="F307" s="109"/>
      <c r="G307" s="112"/>
      <c r="H307" s="112"/>
      <c r="I307" s="109"/>
    </row>
    <row r="308" spans="1:9" s="81" customFormat="1">
      <c r="A308" s="105"/>
      <c r="B308" s="106"/>
      <c r="C308" s="107"/>
      <c r="D308" s="107"/>
      <c r="E308" s="108" t="str">
        <f t="shared" si="4"/>
        <v/>
      </c>
      <c r="F308" s="109"/>
      <c r="G308" s="112"/>
      <c r="H308" s="112"/>
      <c r="I308" s="109"/>
    </row>
    <row r="309" spans="1:9" s="81" customFormat="1">
      <c r="A309" s="105"/>
      <c r="B309" s="106"/>
      <c r="C309" s="107"/>
      <c r="D309" s="107"/>
      <c r="E309" s="108" t="str">
        <f t="shared" si="4"/>
        <v/>
      </c>
      <c r="F309" s="109"/>
      <c r="G309" s="112"/>
      <c r="H309" s="112"/>
      <c r="I309" s="109"/>
    </row>
    <row r="310" spans="1:9" s="81" customFormat="1">
      <c r="A310" s="105"/>
      <c r="B310" s="106"/>
      <c r="C310" s="107"/>
      <c r="D310" s="107"/>
      <c r="E310" s="108" t="str">
        <f t="shared" si="4"/>
        <v/>
      </c>
      <c r="F310" s="109"/>
      <c r="G310" s="112"/>
      <c r="H310" s="112"/>
      <c r="I310" s="109"/>
    </row>
    <row r="311" spans="1:9" s="81" customFormat="1">
      <c r="A311" s="105"/>
      <c r="B311" s="106"/>
      <c r="C311" s="107"/>
      <c r="D311" s="107"/>
      <c r="E311" s="108" t="str">
        <f t="shared" si="4"/>
        <v/>
      </c>
      <c r="F311" s="109"/>
      <c r="G311" s="112"/>
      <c r="H311" s="112"/>
      <c r="I311" s="109"/>
    </row>
    <row r="312" spans="1:9" s="81" customFormat="1">
      <c r="A312" s="105"/>
      <c r="B312" s="106"/>
      <c r="C312" s="107"/>
      <c r="D312" s="107"/>
      <c r="E312" s="108" t="str">
        <f t="shared" si="4"/>
        <v/>
      </c>
      <c r="F312" s="109"/>
      <c r="G312" s="112"/>
      <c r="H312" s="112"/>
      <c r="I312" s="109"/>
    </row>
    <row r="313" spans="1:9" s="81" customFormat="1">
      <c r="A313" s="105"/>
      <c r="B313" s="106"/>
      <c r="C313" s="107"/>
      <c r="D313" s="107"/>
      <c r="E313" s="108" t="str">
        <f t="shared" si="4"/>
        <v/>
      </c>
      <c r="F313" s="109"/>
      <c r="G313" s="112"/>
      <c r="H313" s="112"/>
      <c r="I313" s="109"/>
    </row>
    <row r="314" spans="1:9" s="81" customFormat="1">
      <c r="A314" s="105"/>
      <c r="B314" s="106"/>
      <c r="C314" s="107"/>
      <c r="D314" s="107"/>
      <c r="E314" s="108" t="str">
        <f t="shared" si="4"/>
        <v/>
      </c>
      <c r="F314" s="109"/>
      <c r="G314" s="112"/>
      <c r="H314" s="112"/>
      <c r="I314" s="109"/>
    </row>
    <row r="315" spans="1:9" s="81" customFormat="1">
      <c r="A315" s="105"/>
      <c r="B315" s="106"/>
      <c r="C315" s="107"/>
      <c r="D315" s="107"/>
      <c r="E315" s="108" t="str">
        <f t="shared" si="4"/>
        <v/>
      </c>
      <c r="F315" s="109"/>
      <c r="G315" s="112"/>
      <c r="H315" s="112"/>
      <c r="I315" s="109"/>
    </row>
    <row r="316" spans="1:9" s="81" customFormat="1">
      <c r="A316" s="105"/>
      <c r="B316" s="106"/>
      <c r="C316" s="107"/>
      <c r="D316" s="107"/>
      <c r="E316" s="108" t="str">
        <f t="shared" si="4"/>
        <v/>
      </c>
      <c r="F316" s="109"/>
      <c r="G316" s="112"/>
      <c r="H316" s="112"/>
      <c r="I316" s="109"/>
    </row>
    <row r="317" spans="1:9" s="81" customFormat="1">
      <c r="A317" s="105"/>
      <c r="B317" s="106"/>
      <c r="C317" s="107"/>
      <c r="D317" s="107"/>
      <c r="E317" s="108" t="str">
        <f t="shared" si="4"/>
        <v/>
      </c>
      <c r="F317" s="109"/>
      <c r="G317" s="112"/>
      <c r="H317" s="112"/>
      <c r="I317" s="109"/>
    </row>
    <row r="318" spans="1:9" s="81" customFormat="1">
      <c r="A318" s="105"/>
      <c r="B318" s="106"/>
      <c r="C318" s="107"/>
      <c r="D318" s="107"/>
      <c r="E318" s="108" t="str">
        <f t="shared" si="4"/>
        <v/>
      </c>
      <c r="F318" s="109"/>
      <c r="G318" s="112"/>
      <c r="H318" s="112"/>
      <c r="I318" s="109"/>
    </row>
    <row r="319" spans="1:9" s="81" customFormat="1">
      <c r="A319" s="105"/>
      <c r="B319" s="106"/>
      <c r="C319" s="107"/>
      <c r="D319" s="107"/>
      <c r="E319" s="108" t="str">
        <f t="shared" si="4"/>
        <v/>
      </c>
      <c r="F319" s="109"/>
      <c r="G319" s="112"/>
      <c r="H319" s="112"/>
      <c r="I319" s="109"/>
    </row>
    <row r="320" spans="1:9" s="81" customFormat="1">
      <c r="A320" s="105"/>
      <c r="B320" s="106"/>
      <c r="C320" s="107"/>
      <c r="D320" s="107"/>
      <c r="E320" s="108" t="str">
        <f t="shared" si="4"/>
        <v/>
      </c>
      <c r="F320" s="109"/>
      <c r="G320" s="112"/>
      <c r="H320" s="112"/>
      <c r="I320" s="109"/>
    </row>
    <row r="321" spans="1:9" s="81" customFormat="1">
      <c r="A321" s="105"/>
      <c r="B321" s="106"/>
      <c r="C321" s="107"/>
      <c r="D321" s="107"/>
      <c r="E321" s="108" t="str">
        <f t="shared" si="4"/>
        <v/>
      </c>
      <c r="F321" s="109"/>
      <c r="G321" s="112"/>
      <c r="H321" s="112"/>
      <c r="I321" s="109"/>
    </row>
    <row r="322" spans="1:9" s="81" customFormat="1">
      <c r="A322" s="105"/>
      <c r="B322" s="106"/>
      <c r="C322" s="107"/>
      <c r="D322" s="107"/>
      <c r="E322" s="108" t="str">
        <f t="shared" si="4"/>
        <v/>
      </c>
      <c r="F322" s="109"/>
      <c r="G322" s="112"/>
      <c r="H322" s="112"/>
      <c r="I322" s="109"/>
    </row>
    <row r="323" spans="1:9" s="81" customFormat="1">
      <c r="A323" s="105"/>
      <c r="B323" s="106"/>
      <c r="C323" s="107"/>
      <c r="D323" s="107"/>
      <c r="E323" s="108" t="str">
        <f t="shared" si="4"/>
        <v/>
      </c>
      <c r="F323" s="109"/>
      <c r="G323" s="112"/>
      <c r="H323" s="112"/>
      <c r="I323" s="109"/>
    </row>
    <row r="324" spans="1:9" s="81" customFormat="1">
      <c r="A324" s="105"/>
      <c r="B324" s="106"/>
      <c r="C324" s="107"/>
      <c r="D324" s="107"/>
      <c r="E324" s="108" t="str">
        <f t="shared" si="4"/>
        <v/>
      </c>
      <c r="F324" s="109"/>
      <c r="G324" s="112"/>
      <c r="H324" s="112"/>
      <c r="I324" s="109"/>
    </row>
    <row r="325" spans="1:9" s="81" customFormat="1">
      <c r="A325" s="105"/>
      <c r="B325" s="106"/>
      <c r="C325" s="107"/>
      <c r="D325" s="107"/>
      <c r="E325" s="108" t="str">
        <f t="shared" si="4"/>
        <v/>
      </c>
      <c r="F325" s="109"/>
      <c r="G325" s="112"/>
      <c r="H325" s="112"/>
      <c r="I325" s="109"/>
    </row>
    <row r="326" spans="1:9" s="81" customFormat="1">
      <c r="A326" s="105"/>
      <c r="B326" s="106"/>
      <c r="C326" s="107"/>
      <c r="D326" s="107"/>
      <c r="E326" s="108" t="str">
        <f t="shared" si="4"/>
        <v/>
      </c>
      <c r="F326" s="109"/>
      <c r="G326" s="112"/>
      <c r="H326" s="112"/>
      <c r="I326" s="109"/>
    </row>
    <row r="327" spans="1:9" s="81" customFormat="1">
      <c r="A327" s="105"/>
      <c r="B327" s="106"/>
      <c r="C327" s="107"/>
      <c r="D327" s="107"/>
      <c r="E327" s="108" t="str">
        <f t="shared" si="4"/>
        <v/>
      </c>
      <c r="F327" s="109"/>
      <c r="G327" s="112"/>
      <c r="H327" s="112"/>
      <c r="I327" s="109"/>
    </row>
    <row r="328" spans="1:9" s="81" customFormat="1">
      <c r="A328" s="105"/>
      <c r="B328" s="106"/>
      <c r="C328" s="107"/>
      <c r="D328" s="107"/>
      <c r="E328" s="108" t="str">
        <f t="shared" si="4"/>
        <v/>
      </c>
      <c r="F328" s="109"/>
      <c r="G328" s="112"/>
      <c r="H328" s="112"/>
      <c r="I328" s="109"/>
    </row>
    <row r="329" spans="1:9" s="81" customFormat="1">
      <c r="A329" s="105"/>
      <c r="B329" s="106"/>
      <c r="C329" s="107"/>
      <c r="D329" s="107"/>
      <c r="E329" s="108" t="str">
        <f t="shared" si="4"/>
        <v/>
      </c>
      <c r="F329" s="109"/>
      <c r="G329" s="112"/>
      <c r="H329" s="112"/>
      <c r="I329" s="109"/>
    </row>
    <row r="330" spans="1:9" s="81" customFormat="1">
      <c r="A330" s="105"/>
      <c r="B330" s="106"/>
      <c r="C330" s="107"/>
      <c r="D330" s="107"/>
      <c r="E330" s="108" t="str">
        <f t="shared" si="4"/>
        <v/>
      </c>
      <c r="F330" s="109"/>
      <c r="G330" s="112"/>
      <c r="H330" s="112"/>
      <c r="I330" s="109"/>
    </row>
    <row r="331" spans="1:9" s="81" customFormat="1">
      <c r="A331" s="105"/>
      <c r="B331" s="106"/>
      <c r="C331" s="107"/>
      <c r="D331" s="107"/>
      <c r="E331" s="108" t="str">
        <f t="shared" si="4"/>
        <v/>
      </c>
      <c r="F331" s="109"/>
      <c r="G331" s="112"/>
      <c r="H331" s="112"/>
      <c r="I331" s="109"/>
    </row>
    <row r="332" spans="1:9" s="81" customFormat="1">
      <c r="A332" s="105"/>
      <c r="B332" s="106"/>
      <c r="C332" s="107"/>
      <c r="D332" s="107"/>
      <c r="E332" s="108" t="str">
        <f t="shared" si="4"/>
        <v/>
      </c>
      <c r="F332" s="109"/>
      <c r="G332" s="112"/>
      <c r="H332" s="112"/>
      <c r="I332" s="109"/>
    </row>
    <row r="333" spans="1:9" s="81" customFormat="1">
      <c r="A333" s="105"/>
      <c r="B333" s="106"/>
      <c r="C333" s="107"/>
      <c r="D333" s="107"/>
      <c r="E333" s="108" t="str">
        <f t="shared" si="4"/>
        <v/>
      </c>
      <c r="F333" s="109"/>
      <c r="G333" s="112"/>
      <c r="H333" s="112"/>
      <c r="I333" s="109"/>
    </row>
    <row r="334" spans="1:9" s="81" customFormat="1">
      <c r="A334" s="105"/>
      <c r="B334" s="106"/>
      <c r="C334" s="107"/>
      <c r="D334" s="107"/>
      <c r="E334" s="108" t="str">
        <f t="shared" ref="E334:E397" si="5">IF(C334="","",IF(D334="","",D334-C334))</f>
        <v/>
      </c>
      <c r="F334" s="109"/>
      <c r="G334" s="112"/>
      <c r="H334" s="112"/>
      <c r="I334" s="109"/>
    </row>
    <row r="335" spans="1:9" s="81" customFormat="1">
      <c r="A335" s="105"/>
      <c r="B335" s="106"/>
      <c r="C335" s="107"/>
      <c r="D335" s="107"/>
      <c r="E335" s="108" t="str">
        <f t="shared" si="5"/>
        <v/>
      </c>
      <c r="F335" s="109"/>
      <c r="G335" s="112"/>
      <c r="H335" s="112"/>
      <c r="I335" s="109"/>
    </row>
    <row r="336" spans="1:9" s="81" customFormat="1">
      <c r="A336" s="105"/>
      <c r="B336" s="106"/>
      <c r="C336" s="107"/>
      <c r="D336" s="107"/>
      <c r="E336" s="108" t="str">
        <f t="shared" si="5"/>
        <v/>
      </c>
      <c r="F336" s="109"/>
      <c r="G336" s="112"/>
      <c r="H336" s="112"/>
      <c r="I336" s="109"/>
    </row>
    <row r="337" spans="1:9" s="81" customFormat="1">
      <c r="A337" s="105"/>
      <c r="B337" s="106"/>
      <c r="C337" s="107"/>
      <c r="D337" s="107"/>
      <c r="E337" s="108" t="str">
        <f t="shared" si="5"/>
        <v/>
      </c>
      <c r="F337" s="109"/>
      <c r="G337" s="112"/>
      <c r="H337" s="112"/>
      <c r="I337" s="109"/>
    </row>
    <row r="338" spans="1:9" s="81" customFormat="1">
      <c r="A338" s="105"/>
      <c r="B338" s="106"/>
      <c r="C338" s="107"/>
      <c r="D338" s="107"/>
      <c r="E338" s="108" t="str">
        <f t="shared" si="5"/>
        <v/>
      </c>
      <c r="F338" s="109"/>
      <c r="G338" s="112"/>
      <c r="H338" s="112"/>
      <c r="I338" s="109"/>
    </row>
    <row r="339" spans="1:9" s="81" customFormat="1">
      <c r="A339" s="105"/>
      <c r="B339" s="106"/>
      <c r="C339" s="107"/>
      <c r="D339" s="107"/>
      <c r="E339" s="108" t="str">
        <f t="shared" si="5"/>
        <v/>
      </c>
      <c r="F339" s="109"/>
      <c r="G339" s="112"/>
      <c r="H339" s="112"/>
      <c r="I339" s="109"/>
    </row>
    <row r="340" spans="1:9" s="81" customFormat="1">
      <c r="A340" s="105"/>
      <c r="B340" s="106"/>
      <c r="C340" s="107"/>
      <c r="D340" s="107"/>
      <c r="E340" s="108" t="str">
        <f t="shared" si="5"/>
        <v/>
      </c>
      <c r="F340" s="109"/>
      <c r="G340" s="112"/>
      <c r="H340" s="112"/>
      <c r="I340" s="109"/>
    </row>
    <row r="341" spans="1:9" s="81" customFormat="1">
      <c r="A341" s="105"/>
      <c r="B341" s="106"/>
      <c r="C341" s="107"/>
      <c r="D341" s="107"/>
      <c r="E341" s="108" t="str">
        <f t="shared" si="5"/>
        <v/>
      </c>
      <c r="F341" s="109"/>
      <c r="G341" s="112"/>
      <c r="H341" s="112"/>
      <c r="I341" s="109"/>
    </row>
    <row r="342" spans="1:9" s="81" customFormat="1">
      <c r="A342" s="105"/>
      <c r="B342" s="106"/>
      <c r="C342" s="107"/>
      <c r="D342" s="107"/>
      <c r="E342" s="108" t="str">
        <f t="shared" si="5"/>
        <v/>
      </c>
      <c r="F342" s="109"/>
      <c r="G342" s="112"/>
      <c r="H342" s="112"/>
      <c r="I342" s="109"/>
    </row>
    <row r="343" spans="1:9" s="81" customFormat="1">
      <c r="A343" s="105"/>
      <c r="B343" s="106"/>
      <c r="C343" s="107"/>
      <c r="D343" s="107"/>
      <c r="E343" s="108" t="str">
        <f t="shared" si="5"/>
        <v/>
      </c>
      <c r="F343" s="109"/>
      <c r="G343" s="112"/>
      <c r="H343" s="112"/>
      <c r="I343" s="109"/>
    </row>
    <row r="344" spans="1:9" s="81" customFormat="1">
      <c r="A344" s="105"/>
      <c r="B344" s="106"/>
      <c r="C344" s="107"/>
      <c r="D344" s="107"/>
      <c r="E344" s="108" t="str">
        <f t="shared" si="5"/>
        <v/>
      </c>
      <c r="F344" s="109"/>
      <c r="G344" s="112"/>
      <c r="H344" s="112"/>
      <c r="I344" s="109"/>
    </row>
    <row r="345" spans="1:9" s="81" customFormat="1">
      <c r="A345" s="105"/>
      <c r="B345" s="106"/>
      <c r="C345" s="107"/>
      <c r="D345" s="107"/>
      <c r="E345" s="108" t="str">
        <f t="shared" si="5"/>
        <v/>
      </c>
      <c r="F345" s="109"/>
      <c r="G345" s="112"/>
      <c r="H345" s="112"/>
      <c r="I345" s="109"/>
    </row>
    <row r="346" spans="1:9" s="81" customFormat="1">
      <c r="A346" s="105"/>
      <c r="B346" s="106"/>
      <c r="C346" s="107"/>
      <c r="D346" s="107"/>
      <c r="E346" s="108" t="str">
        <f t="shared" si="5"/>
        <v/>
      </c>
      <c r="F346" s="109"/>
      <c r="G346" s="112"/>
      <c r="H346" s="112"/>
      <c r="I346" s="109"/>
    </row>
    <row r="347" spans="1:9" s="81" customFormat="1">
      <c r="A347" s="105"/>
      <c r="B347" s="106"/>
      <c r="C347" s="107"/>
      <c r="D347" s="107"/>
      <c r="E347" s="108" t="str">
        <f t="shared" si="5"/>
        <v/>
      </c>
      <c r="F347" s="109"/>
      <c r="G347" s="112"/>
      <c r="H347" s="112"/>
      <c r="I347" s="109"/>
    </row>
    <row r="348" spans="1:9" s="81" customFormat="1">
      <c r="A348" s="105"/>
      <c r="B348" s="106"/>
      <c r="C348" s="107"/>
      <c r="D348" s="107"/>
      <c r="E348" s="108" t="str">
        <f t="shared" si="5"/>
        <v/>
      </c>
      <c r="F348" s="109"/>
      <c r="G348" s="112"/>
      <c r="H348" s="112"/>
      <c r="I348" s="109"/>
    </row>
    <row r="349" spans="1:9" s="81" customFormat="1">
      <c r="A349" s="105"/>
      <c r="B349" s="106"/>
      <c r="C349" s="107"/>
      <c r="D349" s="107"/>
      <c r="E349" s="108" t="str">
        <f t="shared" si="5"/>
        <v/>
      </c>
      <c r="F349" s="109"/>
      <c r="G349" s="112"/>
      <c r="H349" s="112"/>
      <c r="I349" s="109"/>
    </row>
    <row r="350" spans="1:9" s="81" customFormat="1">
      <c r="A350" s="105"/>
      <c r="B350" s="106"/>
      <c r="C350" s="107"/>
      <c r="D350" s="107"/>
      <c r="E350" s="108" t="str">
        <f t="shared" si="5"/>
        <v/>
      </c>
      <c r="F350" s="109"/>
      <c r="G350" s="112"/>
      <c r="H350" s="112"/>
      <c r="I350" s="109"/>
    </row>
    <row r="351" spans="1:9" s="81" customFormat="1">
      <c r="A351" s="105"/>
      <c r="B351" s="106"/>
      <c r="C351" s="107"/>
      <c r="D351" s="107"/>
      <c r="E351" s="108" t="str">
        <f t="shared" si="5"/>
        <v/>
      </c>
      <c r="F351" s="109"/>
      <c r="G351" s="112"/>
      <c r="H351" s="112"/>
      <c r="I351" s="109"/>
    </row>
    <row r="352" spans="1:9" s="81" customFormat="1">
      <c r="A352" s="105"/>
      <c r="B352" s="106"/>
      <c r="C352" s="107"/>
      <c r="D352" s="107"/>
      <c r="E352" s="108" t="str">
        <f t="shared" si="5"/>
        <v/>
      </c>
      <c r="F352" s="109"/>
      <c r="G352" s="112"/>
      <c r="H352" s="112"/>
      <c r="I352" s="109"/>
    </row>
    <row r="353" spans="1:9" s="81" customFormat="1">
      <c r="A353" s="105"/>
      <c r="B353" s="106"/>
      <c r="C353" s="107"/>
      <c r="D353" s="107"/>
      <c r="E353" s="108" t="str">
        <f t="shared" si="5"/>
        <v/>
      </c>
      <c r="F353" s="109"/>
      <c r="G353" s="112"/>
      <c r="H353" s="112"/>
      <c r="I353" s="109"/>
    </row>
    <row r="354" spans="1:9" s="81" customFormat="1">
      <c r="A354" s="105"/>
      <c r="B354" s="106"/>
      <c r="C354" s="107"/>
      <c r="D354" s="107"/>
      <c r="E354" s="108" t="str">
        <f t="shared" si="5"/>
        <v/>
      </c>
      <c r="F354" s="109"/>
      <c r="G354" s="112"/>
      <c r="H354" s="112"/>
      <c r="I354" s="109"/>
    </row>
    <row r="355" spans="1:9" s="81" customFormat="1">
      <c r="A355" s="105"/>
      <c r="B355" s="106"/>
      <c r="C355" s="107"/>
      <c r="D355" s="107"/>
      <c r="E355" s="108" t="str">
        <f t="shared" si="5"/>
        <v/>
      </c>
      <c r="F355" s="109"/>
      <c r="G355" s="112"/>
      <c r="H355" s="112"/>
      <c r="I355" s="109"/>
    </row>
    <row r="356" spans="1:9" s="81" customFormat="1">
      <c r="A356" s="105"/>
      <c r="B356" s="106"/>
      <c r="C356" s="107"/>
      <c r="D356" s="107"/>
      <c r="E356" s="108" t="str">
        <f t="shared" si="5"/>
        <v/>
      </c>
      <c r="F356" s="109"/>
      <c r="G356" s="112"/>
      <c r="H356" s="112"/>
      <c r="I356" s="109"/>
    </row>
    <row r="357" spans="1:9" s="81" customFormat="1">
      <c r="A357" s="105"/>
      <c r="B357" s="106"/>
      <c r="C357" s="107"/>
      <c r="D357" s="107"/>
      <c r="E357" s="108" t="str">
        <f t="shared" si="5"/>
        <v/>
      </c>
      <c r="F357" s="109"/>
      <c r="G357" s="112"/>
      <c r="H357" s="112"/>
      <c r="I357" s="109"/>
    </row>
    <row r="358" spans="1:9" s="81" customFormat="1">
      <c r="A358" s="105"/>
      <c r="B358" s="106"/>
      <c r="C358" s="107"/>
      <c r="D358" s="107"/>
      <c r="E358" s="108" t="str">
        <f t="shared" si="5"/>
        <v/>
      </c>
      <c r="F358" s="109"/>
      <c r="G358" s="112"/>
      <c r="H358" s="112"/>
      <c r="I358" s="109"/>
    </row>
    <row r="359" spans="1:9" s="81" customFormat="1">
      <c r="A359" s="105"/>
      <c r="B359" s="106"/>
      <c r="C359" s="107"/>
      <c r="D359" s="107"/>
      <c r="E359" s="108" t="str">
        <f t="shared" si="5"/>
        <v/>
      </c>
      <c r="F359" s="109"/>
      <c r="G359" s="112"/>
      <c r="H359" s="112"/>
      <c r="I359" s="109"/>
    </row>
    <row r="360" spans="1:9" s="81" customFormat="1">
      <c r="A360" s="105"/>
      <c r="B360" s="106"/>
      <c r="C360" s="107"/>
      <c r="D360" s="107"/>
      <c r="E360" s="108" t="str">
        <f t="shared" si="5"/>
        <v/>
      </c>
      <c r="F360" s="109"/>
      <c r="G360" s="112"/>
      <c r="H360" s="112"/>
      <c r="I360" s="109"/>
    </row>
    <row r="361" spans="1:9" s="81" customFormat="1">
      <c r="A361" s="105"/>
      <c r="B361" s="106"/>
      <c r="C361" s="107"/>
      <c r="D361" s="107"/>
      <c r="E361" s="108" t="str">
        <f t="shared" si="5"/>
        <v/>
      </c>
      <c r="F361" s="109"/>
      <c r="G361" s="112"/>
      <c r="H361" s="112"/>
      <c r="I361" s="109"/>
    </row>
    <row r="362" spans="1:9" s="81" customFormat="1">
      <c r="A362" s="105"/>
      <c r="B362" s="106"/>
      <c r="C362" s="107"/>
      <c r="D362" s="107"/>
      <c r="E362" s="108" t="str">
        <f t="shared" si="5"/>
        <v/>
      </c>
      <c r="F362" s="109"/>
      <c r="G362" s="112"/>
      <c r="H362" s="112"/>
      <c r="I362" s="109"/>
    </row>
    <row r="363" spans="1:9" s="81" customFormat="1">
      <c r="A363" s="105"/>
      <c r="B363" s="106"/>
      <c r="C363" s="107"/>
      <c r="D363" s="107"/>
      <c r="E363" s="108" t="str">
        <f t="shared" si="5"/>
        <v/>
      </c>
      <c r="F363" s="109"/>
      <c r="G363" s="112"/>
      <c r="H363" s="112"/>
      <c r="I363" s="109"/>
    </row>
    <row r="364" spans="1:9" s="81" customFormat="1">
      <c r="A364" s="105"/>
      <c r="B364" s="106"/>
      <c r="C364" s="107"/>
      <c r="D364" s="107"/>
      <c r="E364" s="108" t="str">
        <f t="shared" si="5"/>
        <v/>
      </c>
      <c r="F364" s="109"/>
      <c r="G364" s="112"/>
      <c r="H364" s="112"/>
      <c r="I364" s="109"/>
    </row>
    <row r="365" spans="1:9" s="81" customFormat="1">
      <c r="A365" s="105"/>
      <c r="B365" s="106"/>
      <c r="C365" s="107"/>
      <c r="D365" s="107"/>
      <c r="E365" s="108" t="str">
        <f t="shared" si="5"/>
        <v/>
      </c>
      <c r="F365" s="109"/>
      <c r="G365" s="112"/>
      <c r="H365" s="112"/>
      <c r="I365" s="109"/>
    </row>
    <row r="366" spans="1:9" s="81" customFormat="1">
      <c r="A366" s="105"/>
      <c r="B366" s="106"/>
      <c r="C366" s="107"/>
      <c r="D366" s="107"/>
      <c r="E366" s="108" t="str">
        <f t="shared" si="5"/>
        <v/>
      </c>
      <c r="F366" s="109"/>
      <c r="G366" s="112"/>
      <c r="H366" s="112"/>
      <c r="I366" s="109"/>
    </row>
    <row r="367" spans="1:9" s="81" customFormat="1">
      <c r="A367" s="105"/>
      <c r="B367" s="106"/>
      <c r="C367" s="107"/>
      <c r="D367" s="107"/>
      <c r="E367" s="108" t="str">
        <f t="shared" si="5"/>
        <v/>
      </c>
      <c r="F367" s="109"/>
      <c r="G367" s="112"/>
      <c r="H367" s="112"/>
      <c r="I367" s="109"/>
    </row>
    <row r="368" spans="1:9" s="81" customFormat="1">
      <c r="A368" s="105"/>
      <c r="B368" s="106"/>
      <c r="C368" s="107"/>
      <c r="D368" s="107"/>
      <c r="E368" s="108" t="str">
        <f t="shared" si="5"/>
        <v/>
      </c>
      <c r="F368" s="109"/>
      <c r="G368" s="112"/>
      <c r="H368" s="112"/>
      <c r="I368" s="109"/>
    </row>
    <row r="369" spans="1:9" s="81" customFormat="1">
      <c r="A369" s="105"/>
      <c r="B369" s="106"/>
      <c r="C369" s="107"/>
      <c r="D369" s="107"/>
      <c r="E369" s="108" t="str">
        <f t="shared" si="5"/>
        <v/>
      </c>
      <c r="F369" s="109"/>
      <c r="G369" s="112"/>
      <c r="H369" s="112"/>
      <c r="I369" s="109"/>
    </row>
    <row r="370" spans="1:9" s="81" customFormat="1">
      <c r="A370" s="105"/>
      <c r="B370" s="106"/>
      <c r="C370" s="107"/>
      <c r="D370" s="107"/>
      <c r="E370" s="108" t="str">
        <f t="shared" si="5"/>
        <v/>
      </c>
      <c r="F370" s="109"/>
      <c r="G370" s="112"/>
      <c r="H370" s="112"/>
      <c r="I370" s="109"/>
    </row>
    <row r="371" spans="1:9" s="81" customFormat="1">
      <c r="A371" s="105"/>
      <c r="B371" s="106"/>
      <c r="C371" s="107"/>
      <c r="D371" s="107"/>
      <c r="E371" s="108" t="str">
        <f t="shared" si="5"/>
        <v/>
      </c>
      <c r="F371" s="109"/>
      <c r="G371" s="112"/>
      <c r="H371" s="112"/>
      <c r="I371" s="109"/>
    </row>
    <row r="372" spans="1:9" s="81" customFormat="1">
      <c r="A372" s="105"/>
      <c r="B372" s="106"/>
      <c r="C372" s="107"/>
      <c r="D372" s="107"/>
      <c r="E372" s="108" t="str">
        <f t="shared" si="5"/>
        <v/>
      </c>
      <c r="F372" s="109"/>
      <c r="G372" s="112"/>
      <c r="H372" s="112"/>
      <c r="I372" s="109"/>
    </row>
    <row r="373" spans="1:9" s="81" customFormat="1">
      <c r="A373" s="105"/>
      <c r="B373" s="106"/>
      <c r="C373" s="107"/>
      <c r="D373" s="107"/>
      <c r="E373" s="108" t="str">
        <f t="shared" si="5"/>
        <v/>
      </c>
      <c r="F373" s="109"/>
      <c r="G373" s="112"/>
      <c r="H373" s="112"/>
      <c r="I373" s="109"/>
    </row>
    <row r="374" spans="1:9" s="81" customFormat="1">
      <c r="A374" s="105"/>
      <c r="B374" s="106"/>
      <c r="C374" s="107"/>
      <c r="D374" s="107"/>
      <c r="E374" s="108" t="str">
        <f t="shared" si="5"/>
        <v/>
      </c>
      <c r="F374" s="109"/>
      <c r="G374" s="112"/>
      <c r="H374" s="112"/>
      <c r="I374" s="109"/>
    </row>
    <row r="375" spans="1:9" s="81" customFormat="1">
      <c r="A375" s="105"/>
      <c r="B375" s="106"/>
      <c r="C375" s="107"/>
      <c r="D375" s="107"/>
      <c r="E375" s="108" t="str">
        <f t="shared" si="5"/>
        <v/>
      </c>
      <c r="F375" s="109"/>
      <c r="G375" s="112"/>
      <c r="H375" s="112"/>
      <c r="I375" s="109"/>
    </row>
    <row r="376" spans="1:9" s="81" customFormat="1">
      <c r="A376" s="105"/>
      <c r="B376" s="106"/>
      <c r="C376" s="107"/>
      <c r="D376" s="107"/>
      <c r="E376" s="108" t="str">
        <f t="shared" si="5"/>
        <v/>
      </c>
      <c r="F376" s="109"/>
      <c r="G376" s="112"/>
      <c r="H376" s="112"/>
      <c r="I376" s="109"/>
    </row>
    <row r="377" spans="1:9" s="81" customFormat="1">
      <c r="A377" s="105"/>
      <c r="B377" s="106"/>
      <c r="C377" s="107"/>
      <c r="D377" s="107"/>
      <c r="E377" s="108" t="str">
        <f t="shared" si="5"/>
        <v/>
      </c>
      <c r="F377" s="109"/>
      <c r="G377" s="112"/>
      <c r="H377" s="112"/>
      <c r="I377" s="109"/>
    </row>
    <row r="378" spans="1:9" s="81" customFormat="1">
      <c r="A378" s="105"/>
      <c r="B378" s="106"/>
      <c r="C378" s="107"/>
      <c r="D378" s="107"/>
      <c r="E378" s="108" t="str">
        <f t="shared" si="5"/>
        <v/>
      </c>
      <c r="F378" s="109"/>
      <c r="G378" s="112"/>
      <c r="H378" s="112"/>
      <c r="I378" s="109"/>
    </row>
    <row r="379" spans="1:9" s="81" customFormat="1">
      <c r="A379" s="105"/>
      <c r="B379" s="106"/>
      <c r="C379" s="107"/>
      <c r="D379" s="107"/>
      <c r="E379" s="108" t="str">
        <f t="shared" si="5"/>
        <v/>
      </c>
      <c r="F379" s="109"/>
      <c r="G379" s="112"/>
      <c r="H379" s="112"/>
      <c r="I379" s="109"/>
    </row>
    <row r="380" spans="1:9" s="81" customFormat="1">
      <c r="A380" s="105"/>
      <c r="B380" s="106"/>
      <c r="C380" s="107"/>
      <c r="D380" s="107"/>
      <c r="E380" s="108" t="str">
        <f t="shared" si="5"/>
        <v/>
      </c>
      <c r="F380" s="109"/>
      <c r="G380" s="112"/>
      <c r="H380" s="112"/>
      <c r="I380" s="109"/>
    </row>
    <row r="381" spans="1:9" s="81" customFormat="1">
      <c r="A381" s="105"/>
      <c r="B381" s="106"/>
      <c r="C381" s="107"/>
      <c r="D381" s="107"/>
      <c r="E381" s="108" t="str">
        <f t="shared" si="5"/>
        <v/>
      </c>
      <c r="F381" s="109"/>
      <c r="G381" s="112"/>
      <c r="H381" s="112"/>
      <c r="I381" s="109"/>
    </row>
    <row r="382" spans="1:9" s="81" customFormat="1">
      <c r="A382" s="105"/>
      <c r="B382" s="106"/>
      <c r="C382" s="107"/>
      <c r="D382" s="107"/>
      <c r="E382" s="108" t="str">
        <f t="shared" si="5"/>
        <v/>
      </c>
      <c r="F382" s="109"/>
      <c r="G382" s="112"/>
      <c r="H382" s="112"/>
      <c r="I382" s="109"/>
    </row>
    <row r="383" spans="1:9" s="81" customFormat="1">
      <c r="A383" s="105"/>
      <c r="B383" s="106"/>
      <c r="C383" s="107"/>
      <c r="D383" s="107"/>
      <c r="E383" s="108" t="str">
        <f t="shared" si="5"/>
        <v/>
      </c>
      <c r="F383" s="109"/>
      <c r="G383" s="112"/>
      <c r="H383" s="112"/>
      <c r="I383" s="109"/>
    </row>
    <row r="384" spans="1:9" s="81" customFormat="1">
      <c r="A384" s="105"/>
      <c r="B384" s="106"/>
      <c r="C384" s="107"/>
      <c r="D384" s="107"/>
      <c r="E384" s="108" t="str">
        <f t="shared" si="5"/>
        <v/>
      </c>
      <c r="F384" s="109"/>
      <c r="G384" s="112"/>
      <c r="H384" s="112"/>
      <c r="I384" s="109"/>
    </row>
    <row r="385" spans="1:9" s="81" customFormat="1">
      <c r="A385" s="105"/>
      <c r="B385" s="106"/>
      <c r="C385" s="107"/>
      <c r="D385" s="107"/>
      <c r="E385" s="108" t="str">
        <f t="shared" si="5"/>
        <v/>
      </c>
      <c r="F385" s="109"/>
      <c r="G385" s="112"/>
      <c r="H385" s="112"/>
      <c r="I385" s="109"/>
    </row>
    <row r="386" spans="1:9" s="81" customFormat="1">
      <c r="A386" s="105"/>
      <c r="B386" s="106"/>
      <c r="C386" s="107"/>
      <c r="D386" s="107"/>
      <c r="E386" s="108" t="str">
        <f t="shared" si="5"/>
        <v/>
      </c>
      <c r="F386" s="109"/>
      <c r="G386" s="112"/>
      <c r="H386" s="112"/>
      <c r="I386" s="109"/>
    </row>
    <row r="387" spans="1:9" s="81" customFormat="1">
      <c r="A387" s="105"/>
      <c r="B387" s="106"/>
      <c r="C387" s="107"/>
      <c r="D387" s="107"/>
      <c r="E387" s="108" t="str">
        <f t="shared" si="5"/>
        <v/>
      </c>
      <c r="F387" s="109"/>
      <c r="G387" s="112"/>
      <c r="H387" s="112"/>
      <c r="I387" s="109"/>
    </row>
    <row r="388" spans="1:9" s="81" customFormat="1">
      <c r="A388" s="105"/>
      <c r="B388" s="106"/>
      <c r="C388" s="107"/>
      <c r="D388" s="107"/>
      <c r="E388" s="108" t="str">
        <f t="shared" si="5"/>
        <v/>
      </c>
      <c r="F388" s="109"/>
      <c r="G388" s="112"/>
      <c r="H388" s="112"/>
      <c r="I388" s="109"/>
    </row>
    <row r="389" spans="1:9" s="81" customFormat="1">
      <c r="A389" s="105"/>
      <c r="B389" s="106"/>
      <c r="C389" s="107"/>
      <c r="D389" s="107"/>
      <c r="E389" s="108" t="str">
        <f t="shared" si="5"/>
        <v/>
      </c>
      <c r="F389" s="109"/>
      <c r="G389" s="112"/>
      <c r="H389" s="112"/>
      <c r="I389" s="109"/>
    </row>
    <row r="390" spans="1:9" s="81" customFormat="1">
      <c r="A390" s="105"/>
      <c r="B390" s="106"/>
      <c r="C390" s="107"/>
      <c r="D390" s="107"/>
      <c r="E390" s="108" t="str">
        <f t="shared" si="5"/>
        <v/>
      </c>
      <c r="F390" s="109"/>
      <c r="G390" s="112"/>
      <c r="H390" s="112"/>
      <c r="I390" s="109"/>
    </row>
    <row r="391" spans="1:9" s="81" customFormat="1">
      <c r="A391" s="105"/>
      <c r="B391" s="106"/>
      <c r="C391" s="107"/>
      <c r="D391" s="107"/>
      <c r="E391" s="108" t="str">
        <f t="shared" si="5"/>
        <v/>
      </c>
      <c r="F391" s="109"/>
      <c r="G391" s="112"/>
      <c r="H391" s="112"/>
      <c r="I391" s="109"/>
    </row>
    <row r="392" spans="1:9" s="81" customFormat="1">
      <c r="A392" s="105"/>
      <c r="B392" s="106"/>
      <c r="C392" s="107"/>
      <c r="D392" s="107"/>
      <c r="E392" s="108" t="str">
        <f t="shared" si="5"/>
        <v/>
      </c>
      <c r="F392" s="109"/>
      <c r="G392" s="112"/>
      <c r="H392" s="112"/>
      <c r="I392" s="109"/>
    </row>
    <row r="393" spans="1:9" s="81" customFormat="1">
      <c r="A393" s="105"/>
      <c r="B393" s="106"/>
      <c r="C393" s="107"/>
      <c r="D393" s="107"/>
      <c r="E393" s="108" t="str">
        <f t="shared" si="5"/>
        <v/>
      </c>
      <c r="F393" s="109"/>
      <c r="G393" s="112"/>
      <c r="H393" s="112"/>
      <c r="I393" s="109"/>
    </row>
    <row r="394" spans="1:9" s="81" customFormat="1">
      <c r="A394" s="105"/>
      <c r="B394" s="106"/>
      <c r="C394" s="107"/>
      <c r="D394" s="107"/>
      <c r="E394" s="108" t="str">
        <f t="shared" si="5"/>
        <v/>
      </c>
      <c r="F394" s="109"/>
      <c r="G394" s="112"/>
      <c r="H394" s="112"/>
      <c r="I394" s="109"/>
    </row>
    <row r="395" spans="1:9" s="81" customFormat="1">
      <c r="A395" s="105"/>
      <c r="B395" s="106"/>
      <c r="C395" s="107"/>
      <c r="D395" s="107"/>
      <c r="E395" s="108" t="str">
        <f t="shared" si="5"/>
        <v/>
      </c>
      <c r="F395" s="109"/>
      <c r="G395" s="112"/>
      <c r="H395" s="112"/>
      <c r="I395" s="109"/>
    </row>
    <row r="396" spans="1:9" s="81" customFormat="1">
      <c r="A396" s="105"/>
      <c r="B396" s="106"/>
      <c r="C396" s="107"/>
      <c r="D396" s="107"/>
      <c r="E396" s="108" t="str">
        <f t="shared" si="5"/>
        <v/>
      </c>
      <c r="F396" s="109"/>
      <c r="G396" s="112"/>
      <c r="H396" s="112"/>
      <c r="I396" s="109"/>
    </row>
    <row r="397" spans="1:9" s="81" customFormat="1">
      <c r="A397" s="105"/>
      <c r="B397" s="106"/>
      <c r="C397" s="107"/>
      <c r="D397" s="107"/>
      <c r="E397" s="108" t="str">
        <f t="shared" si="5"/>
        <v/>
      </c>
      <c r="F397" s="109"/>
      <c r="G397" s="112"/>
      <c r="H397" s="112"/>
      <c r="I397" s="109"/>
    </row>
    <row r="398" spans="1:9" s="81" customFormat="1">
      <c r="A398" s="105"/>
      <c r="B398" s="106"/>
      <c r="C398" s="107"/>
      <c r="D398" s="107"/>
      <c r="E398" s="108" t="str">
        <f t="shared" ref="E398:E461" si="6">IF(C398="","",IF(D398="","",D398-C398))</f>
        <v/>
      </c>
      <c r="F398" s="109"/>
      <c r="G398" s="112"/>
      <c r="H398" s="112"/>
      <c r="I398" s="109"/>
    </row>
    <row r="399" spans="1:9" s="81" customFormat="1">
      <c r="A399" s="105"/>
      <c r="B399" s="106"/>
      <c r="C399" s="107"/>
      <c r="D399" s="107"/>
      <c r="E399" s="108" t="str">
        <f t="shared" si="6"/>
        <v/>
      </c>
      <c r="F399" s="109"/>
      <c r="G399" s="112"/>
      <c r="H399" s="112"/>
      <c r="I399" s="109"/>
    </row>
    <row r="400" spans="1:9" s="81" customFormat="1">
      <c r="A400" s="105"/>
      <c r="B400" s="106"/>
      <c r="C400" s="107"/>
      <c r="D400" s="107"/>
      <c r="E400" s="108" t="str">
        <f t="shared" si="6"/>
        <v/>
      </c>
      <c r="F400" s="109"/>
      <c r="G400" s="112"/>
      <c r="H400" s="112"/>
      <c r="I400" s="109"/>
    </row>
    <row r="401" spans="1:9" s="81" customFormat="1">
      <c r="A401" s="105"/>
      <c r="B401" s="106"/>
      <c r="C401" s="107"/>
      <c r="D401" s="107"/>
      <c r="E401" s="108" t="str">
        <f t="shared" si="6"/>
        <v/>
      </c>
      <c r="F401" s="109"/>
      <c r="G401" s="112"/>
      <c r="H401" s="112"/>
      <c r="I401" s="109"/>
    </row>
    <row r="402" spans="1:9" s="81" customFormat="1">
      <c r="A402" s="105"/>
      <c r="B402" s="106"/>
      <c r="C402" s="107"/>
      <c r="D402" s="107"/>
      <c r="E402" s="108" t="str">
        <f t="shared" si="6"/>
        <v/>
      </c>
      <c r="F402" s="109"/>
      <c r="G402" s="112"/>
      <c r="H402" s="112"/>
      <c r="I402" s="109"/>
    </row>
    <row r="403" spans="1:9" s="81" customFormat="1">
      <c r="A403" s="105"/>
      <c r="B403" s="106"/>
      <c r="C403" s="107"/>
      <c r="D403" s="107"/>
      <c r="E403" s="108" t="str">
        <f t="shared" si="6"/>
        <v/>
      </c>
      <c r="F403" s="109"/>
      <c r="G403" s="112"/>
      <c r="H403" s="112"/>
      <c r="I403" s="109"/>
    </row>
    <row r="404" spans="1:9" s="81" customFormat="1">
      <c r="A404" s="105"/>
      <c r="B404" s="106"/>
      <c r="C404" s="107"/>
      <c r="D404" s="107"/>
      <c r="E404" s="108" t="str">
        <f t="shared" si="6"/>
        <v/>
      </c>
      <c r="F404" s="109"/>
      <c r="G404" s="112"/>
      <c r="H404" s="112"/>
      <c r="I404" s="109"/>
    </row>
    <row r="405" spans="1:9" s="81" customFormat="1">
      <c r="A405" s="105"/>
      <c r="B405" s="106"/>
      <c r="C405" s="107"/>
      <c r="D405" s="107"/>
      <c r="E405" s="108" t="str">
        <f t="shared" si="6"/>
        <v/>
      </c>
      <c r="F405" s="109"/>
      <c r="G405" s="112"/>
      <c r="H405" s="112"/>
      <c r="I405" s="109"/>
    </row>
    <row r="406" spans="1:9" s="81" customFormat="1">
      <c r="A406" s="105"/>
      <c r="B406" s="106"/>
      <c r="C406" s="107"/>
      <c r="D406" s="107"/>
      <c r="E406" s="108" t="str">
        <f t="shared" si="6"/>
        <v/>
      </c>
      <c r="F406" s="109"/>
      <c r="G406" s="112"/>
      <c r="H406" s="112"/>
      <c r="I406" s="109"/>
    </row>
    <row r="407" spans="1:9" s="81" customFormat="1">
      <c r="A407" s="105"/>
      <c r="B407" s="106"/>
      <c r="C407" s="107"/>
      <c r="D407" s="107"/>
      <c r="E407" s="108" t="str">
        <f t="shared" si="6"/>
        <v/>
      </c>
      <c r="F407" s="109"/>
      <c r="G407" s="112"/>
      <c r="H407" s="112"/>
      <c r="I407" s="109"/>
    </row>
    <row r="408" spans="1:9" s="81" customFormat="1">
      <c r="A408" s="105"/>
      <c r="B408" s="106"/>
      <c r="C408" s="107"/>
      <c r="D408" s="107"/>
      <c r="E408" s="108" t="str">
        <f t="shared" si="6"/>
        <v/>
      </c>
      <c r="F408" s="109"/>
      <c r="G408" s="112"/>
      <c r="H408" s="112"/>
      <c r="I408" s="109"/>
    </row>
    <row r="409" spans="1:9" s="81" customFormat="1">
      <c r="A409" s="105"/>
      <c r="B409" s="106"/>
      <c r="C409" s="107"/>
      <c r="D409" s="107"/>
      <c r="E409" s="108" t="str">
        <f t="shared" si="6"/>
        <v/>
      </c>
      <c r="F409" s="109"/>
      <c r="G409" s="112"/>
      <c r="H409" s="112"/>
      <c r="I409" s="109"/>
    </row>
    <row r="410" spans="1:9" s="81" customFormat="1">
      <c r="A410" s="105"/>
      <c r="B410" s="106"/>
      <c r="C410" s="107"/>
      <c r="D410" s="107"/>
      <c r="E410" s="108" t="str">
        <f t="shared" si="6"/>
        <v/>
      </c>
      <c r="F410" s="109"/>
      <c r="G410" s="112"/>
      <c r="H410" s="112"/>
      <c r="I410" s="109"/>
    </row>
    <row r="411" spans="1:9" s="81" customFormat="1">
      <c r="A411" s="105"/>
      <c r="B411" s="106"/>
      <c r="C411" s="107"/>
      <c r="D411" s="107"/>
      <c r="E411" s="108" t="str">
        <f t="shared" si="6"/>
        <v/>
      </c>
      <c r="F411" s="109"/>
      <c r="G411" s="112"/>
      <c r="H411" s="112"/>
      <c r="I411" s="109"/>
    </row>
    <row r="412" spans="1:9" s="81" customFormat="1">
      <c r="A412" s="105"/>
      <c r="B412" s="106"/>
      <c r="C412" s="107"/>
      <c r="D412" s="107"/>
      <c r="E412" s="108" t="str">
        <f t="shared" si="6"/>
        <v/>
      </c>
      <c r="F412" s="109"/>
      <c r="G412" s="112"/>
      <c r="H412" s="112"/>
      <c r="I412" s="109"/>
    </row>
    <row r="413" spans="1:9" s="81" customFormat="1">
      <c r="A413" s="105"/>
      <c r="B413" s="106"/>
      <c r="C413" s="107"/>
      <c r="D413" s="107"/>
      <c r="E413" s="108" t="str">
        <f t="shared" si="6"/>
        <v/>
      </c>
      <c r="F413" s="109"/>
      <c r="G413" s="112"/>
      <c r="H413" s="112"/>
      <c r="I413" s="109"/>
    </row>
    <row r="414" spans="1:9" s="81" customFormat="1">
      <c r="A414" s="105"/>
      <c r="B414" s="106"/>
      <c r="C414" s="107"/>
      <c r="D414" s="107"/>
      <c r="E414" s="108" t="str">
        <f t="shared" si="6"/>
        <v/>
      </c>
      <c r="F414" s="109"/>
      <c r="G414" s="112"/>
      <c r="H414" s="112"/>
      <c r="I414" s="109"/>
    </row>
    <row r="415" spans="1:9" s="81" customFormat="1">
      <c r="A415" s="105"/>
      <c r="B415" s="106"/>
      <c r="C415" s="107"/>
      <c r="D415" s="107"/>
      <c r="E415" s="108" t="str">
        <f t="shared" si="6"/>
        <v/>
      </c>
      <c r="F415" s="109"/>
      <c r="G415" s="112"/>
      <c r="H415" s="112"/>
      <c r="I415" s="109"/>
    </row>
    <row r="416" spans="1:9" s="81" customFormat="1">
      <c r="A416" s="105"/>
      <c r="B416" s="106"/>
      <c r="C416" s="107"/>
      <c r="D416" s="107"/>
      <c r="E416" s="108" t="str">
        <f t="shared" si="6"/>
        <v/>
      </c>
      <c r="F416" s="109"/>
      <c r="G416" s="112"/>
      <c r="H416" s="112"/>
      <c r="I416" s="109"/>
    </row>
    <row r="417" spans="1:9" s="81" customFormat="1">
      <c r="A417" s="105"/>
      <c r="B417" s="106"/>
      <c r="C417" s="107"/>
      <c r="D417" s="107"/>
      <c r="E417" s="108" t="str">
        <f t="shared" si="6"/>
        <v/>
      </c>
      <c r="F417" s="109"/>
      <c r="G417" s="112"/>
      <c r="H417" s="112"/>
      <c r="I417" s="109"/>
    </row>
    <row r="418" spans="1:9" s="81" customFormat="1">
      <c r="A418" s="105"/>
      <c r="B418" s="106"/>
      <c r="C418" s="107"/>
      <c r="D418" s="107"/>
      <c r="E418" s="108" t="str">
        <f t="shared" si="6"/>
        <v/>
      </c>
      <c r="F418" s="109"/>
      <c r="G418" s="112"/>
      <c r="H418" s="112"/>
      <c r="I418" s="109"/>
    </row>
    <row r="419" spans="1:9" s="81" customFormat="1">
      <c r="A419" s="105"/>
      <c r="B419" s="106"/>
      <c r="C419" s="107"/>
      <c r="D419" s="107"/>
      <c r="E419" s="108" t="str">
        <f t="shared" si="6"/>
        <v/>
      </c>
      <c r="F419" s="109"/>
      <c r="G419" s="112"/>
      <c r="H419" s="112"/>
      <c r="I419" s="109"/>
    </row>
    <row r="420" spans="1:9" s="81" customFormat="1">
      <c r="A420" s="105"/>
      <c r="B420" s="106"/>
      <c r="C420" s="107"/>
      <c r="D420" s="107"/>
      <c r="E420" s="108" t="str">
        <f t="shared" si="6"/>
        <v/>
      </c>
      <c r="F420" s="109"/>
      <c r="G420" s="112"/>
      <c r="H420" s="112"/>
      <c r="I420" s="109"/>
    </row>
    <row r="421" spans="1:9" s="81" customFormat="1">
      <c r="A421" s="105"/>
      <c r="B421" s="106"/>
      <c r="C421" s="107"/>
      <c r="D421" s="107"/>
      <c r="E421" s="108" t="str">
        <f t="shared" si="6"/>
        <v/>
      </c>
      <c r="F421" s="109"/>
      <c r="G421" s="112"/>
      <c r="H421" s="112"/>
      <c r="I421" s="109"/>
    </row>
    <row r="422" spans="1:9" s="81" customFormat="1">
      <c r="A422" s="105"/>
      <c r="B422" s="106"/>
      <c r="C422" s="107"/>
      <c r="D422" s="107"/>
      <c r="E422" s="108" t="str">
        <f t="shared" si="6"/>
        <v/>
      </c>
      <c r="F422" s="109"/>
      <c r="G422" s="112"/>
      <c r="H422" s="112"/>
      <c r="I422" s="109"/>
    </row>
    <row r="423" spans="1:9" s="81" customFormat="1">
      <c r="A423" s="105"/>
      <c r="B423" s="106"/>
      <c r="C423" s="107"/>
      <c r="D423" s="107"/>
      <c r="E423" s="108" t="str">
        <f t="shared" si="6"/>
        <v/>
      </c>
      <c r="F423" s="109"/>
      <c r="G423" s="112"/>
      <c r="H423" s="112"/>
      <c r="I423" s="109"/>
    </row>
    <row r="424" spans="1:9" s="81" customFormat="1">
      <c r="A424" s="105"/>
      <c r="B424" s="106"/>
      <c r="C424" s="107"/>
      <c r="D424" s="107"/>
      <c r="E424" s="108" t="str">
        <f t="shared" si="6"/>
        <v/>
      </c>
      <c r="F424" s="109"/>
      <c r="G424" s="112"/>
      <c r="H424" s="112"/>
      <c r="I424" s="109"/>
    </row>
    <row r="425" spans="1:9" s="81" customFormat="1">
      <c r="A425" s="105"/>
      <c r="B425" s="106"/>
      <c r="C425" s="107"/>
      <c r="D425" s="107"/>
      <c r="E425" s="108" t="str">
        <f t="shared" si="6"/>
        <v/>
      </c>
      <c r="F425" s="109"/>
      <c r="G425" s="112"/>
      <c r="H425" s="112"/>
      <c r="I425" s="109"/>
    </row>
    <row r="426" spans="1:9" s="81" customFormat="1">
      <c r="A426" s="105"/>
      <c r="B426" s="106"/>
      <c r="C426" s="107"/>
      <c r="D426" s="107"/>
      <c r="E426" s="108" t="str">
        <f t="shared" si="6"/>
        <v/>
      </c>
      <c r="F426" s="109"/>
      <c r="G426" s="112"/>
      <c r="H426" s="112"/>
      <c r="I426" s="109"/>
    </row>
    <row r="427" spans="1:9" s="81" customFormat="1">
      <c r="A427" s="105"/>
      <c r="B427" s="106"/>
      <c r="C427" s="107"/>
      <c r="D427" s="107"/>
      <c r="E427" s="108" t="str">
        <f t="shared" si="6"/>
        <v/>
      </c>
      <c r="F427" s="109"/>
      <c r="G427" s="112"/>
      <c r="H427" s="112"/>
      <c r="I427" s="109"/>
    </row>
    <row r="428" spans="1:9" s="81" customFormat="1">
      <c r="A428" s="105"/>
      <c r="B428" s="106"/>
      <c r="C428" s="107"/>
      <c r="D428" s="107"/>
      <c r="E428" s="108" t="str">
        <f t="shared" si="6"/>
        <v/>
      </c>
      <c r="F428" s="109"/>
      <c r="G428" s="112"/>
      <c r="H428" s="112"/>
      <c r="I428" s="109"/>
    </row>
    <row r="429" spans="1:9" s="81" customFormat="1">
      <c r="A429" s="105"/>
      <c r="B429" s="106"/>
      <c r="C429" s="107"/>
      <c r="D429" s="107"/>
      <c r="E429" s="108" t="str">
        <f t="shared" si="6"/>
        <v/>
      </c>
      <c r="F429" s="109"/>
      <c r="G429" s="112"/>
      <c r="H429" s="112"/>
      <c r="I429" s="109"/>
    </row>
    <row r="430" spans="1:9" s="81" customFormat="1">
      <c r="A430" s="105"/>
      <c r="B430" s="106"/>
      <c r="C430" s="107"/>
      <c r="D430" s="107"/>
      <c r="E430" s="108" t="str">
        <f t="shared" si="6"/>
        <v/>
      </c>
      <c r="F430" s="109"/>
      <c r="G430" s="112"/>
      <c r="H430" s="112"/>
      <c r="I430" s="109"/>
    </row>
    <row r="431" spans="1:9" s="81" customFormat="1">
      <c r="A431" s="105"/>
      <c r="B431" s="106"/>
      <c r="C431" s="107"/>
      <c r="D431" s="107"/>
      <c r="E431" s="108" t="str">
        <f t="shared" si="6"/>
        <v/>
      </c>
      <c r="F431" s="109"/>
      <c r="G431" s="112"/>
      <c r="H431" s="112"/>
      <c r="I431" s="109"/>
    </row>
    <row r="432" spans="1:9" s="81" customFormat="1">
      <c r="A432" s="105"/>
      <c r="B432" s="106"/>
      <c r="C432" s="107"/>
      <c r="D432" s="107"/>
      <c r="E432" s="108" t="str">
        <f t="shared" si="6"/>
        <v/>
      </c>
      <c r="F432" s="109"/>
      <c r="G432" s="112"/>
      <c r="H432" s="112"/>
      <c r="I432" s="109"/>
    </row>
    <row r="433" spans="1:9" s="81" customFormat="1">
      <c r="A433" s="105"/>
      <c r="B433" s="106"/>
      <c r="C433" s="107"/>
      <c r="D433" s="107"/>
      <c r="E433" s="108" t="str">
        <f t="shared" si="6"/>
        <v/>
      </c>
      <c r="F433" s="109"/>
      <c r="G433" s="112"/>
      <c r="H433" s="112"/>
      <c r="I433" s="109"/>
    </row>
    <row r="434" spans="1:9" s="81" customFormat="1">
      <c r="A434" s="105"/>
      <c r="B434" s="106"/>
      <c r="C434" s="107"/>
      <c r="D434" s="107"/>
      <c r="E434" s="108" t="str">
        <f t="shared" si="6"/>
        <v/>
      </c>
      <c r="F434" s="109"/>
      <c r="G434" s="112"/>
      <c r="H434" s="112"/>
      <c r="I434" s="109"/>
    </row>
    <row r="435" spans="1:9" s="81" customFormat="1">
      <c r="A435" s="105"/>
      <c r="B435" s="106"/>
      <c r="C435" s="107"/>
      <c r="D435" s="107"/>
      <c r="E435" s="108" t="str">
        <f t="shared" si="6"/>
        <v/>
      </c>
      <c r="F435" s="109"/>
      <c r="G435" s="112"/>
      <c r="H435" s="112"/>
      <c r="I435" s="109"/>
    </row>
    <row r="436" spans="1:9" s="81" customFormat="1">
      <c r="A436" s="105"/>
      <c r="B436" s="106"/>
      <c r="C436" s="107"/>
      <c r="D436" s="107"/>
      <c r="E436" s="108" t="str">
        <f t="shared" si="6"/>
        <v/>
      </c>
      <c r="F436" s="109"/>
      <c r="G436" s="112"/>
      <c r="H436" s="112"/>
      <c r="I436" s="109"/>
    </row>
    <row r="437" spans="1:9" s="81" customFormat="1">
      <c r="A437" s="105"/>
      <c r="B437" s="106"/>
      <c r="C437" s="107"/>
      <c r="D437" s="107"/>
      <c r="E437" s="108" t="str">
        <f t="shared" si="6"/>
        <v/>
      </c>
      <c r="F437" s="109"/>
      <c r="G437" s="112"/>
      <c r="H437" s="112"/>
      <c r="I437" s="109"/>
    </row>
    <row r="438" spans="1:9" s="81" customFormat="1">
      <c r="A438" s="105"/>
      <c r="B438" s="106"/>
      <c r="C438" s="107"/>
      <c r="D438" s="107"/>
      <c r="E438" s="108" t="str">
        <f t="shared" si="6"/>
        <v/>
      </c>
      <c r="F438" s="109"/>
      <c r="G438" s="112"/>
      <c r="H438" s="112"/>
      <c r="I438" s="109"/>
    </row>
    <row r="439" spans="1:9" s="81" customFormat="1">
      <c r="A439" s="105"/>
      <c r="B439" s="106"/>
      <c r="C439" s="107"/>
      <c r="D439" s="107"/>
      <c r="E439" s="108" t="str">
        <f t="shared" si="6"/>
        <v/>
      </c>
      <c r="F439" s="109"/>
      <c r="G439" s="112"/>
      <c r="H439" s="112"/>
      <c r="I439" s="109"/>
    </row>
    <row r="440" spans="1:9" s="81" customFormat="1">
      <c r="A440" s="105"/>
      <c r="B440" s="106"/>
      <c r="C440" s="107"/>
      <c r="D440" s="107"/>
      <c r="E440" s="108" t="str">
        <f t="shared" si="6"/>
        <v/>
      </c>
      <c r="F440" s="109"/>
      <c r="G440" s="112"/>
      <c r="H440" s="112"/>
      <c r="I440" s="109"/>
    </row>
    <row r="441" spans="1:9" s="81" customFormat="1">
      <c r="A441" s="105"/>
      <c r="B441" s="106"/>
      <c r="C441" s="107"/>
      <c r="D441" s="107"/>
      <c r="E441" s="108" t="str">
        <f t="shared" si="6"/>
        <v/>
      </c>
      <c r="F441" s="109"/>
      <c r="G441" s="112"/>
      <c r="H441" s="112"/>
      <c r="I441" s="109"/>
    </row>
    <row r="442" spans="1:9" s="81" customFormat="1">
      <c r="A442" s="105"/>
      <c r="B442" s="106"/>
      <c r="C442" s="107"/>
      <c r="D442" s="107"/>
      <c r="E442" s="108" t="str">
        <f t="shared" si="6"/>
        <v/>
      </c>
      <c r="F442" s="109"/>
      <c r="G442" s="112"/>
      <c r="H442" s="112"/>
      <c r="I442" s="109"/>
    </row>
    <row r="443" spans="1:9" s="81" customFormat="1">
      <c r="A443" s="105"/>
      <c r="B443" s="106"/>
      <c r="C443" s="107"/>
      <c r="D443" s="107"/>
      <c r="E443" s="108" t="str">
        <f t="shared" si="6"/>
        <v/>
      </c>
      <c r="F443" s="109"/>
      <c r="G443" s="112"/>
      <c r="H443" s="112"/>
      <c r="I443" s="109"/>
    </row>
    <row r="444" spans="1:9" s="81" customFormat="1">
      <c r="A444" s="105"/>
      <c r="B444" s="106"/>
      <c r="C444" s="107"/>
      <c r="D444" s="107"/>
      <c r="E444" s="108" t="str">
        <f t="shared" si="6"/>
        <v/>
      </c>
      <c r="F444" s="109"/>
      <c r="G444" s="112"/>
      <c r="H444" s="112"/>
      <c r="I444" s="109"/>
    </row>
    <row r="445" spans="1:9" s="81" customFormat="1">
      <c r="A445" s="105"/>
      <c r="B445" s="106"/>
      <c r="C445" s="107"/>
      <c r="D445" s="107"/>
      <c r="E445" s="108" t="str">
        <f t="shared" si="6"/>
        <v/>
      </c>
      <c r="F445" s="109"/>
      <c r="G445" s="112"/>
      <c r="H445" s="112"/>
      <c r="I445" s="109"/>
    </row>
    <row r="446" spans="1:9" s="81" customFormat="1">
      <c r="A446" s="105"/>
      <c r="B446" s="106"/>
      <c r="C446" s="107"/>
      <c r="D446" s="107"/>
      <c r="E446" s="108" t="str">
        <f t="shared" si="6"/>
        <v/>
      </c>
      <c r="F446" s="109"/>
      <c r="G446" s="112"/>
      <c r="H446" s="112"/>
      <c r="I446" s="109"/>
    </row>
    <row r="447" spans="1:9" s="81" customFormat="1">
      <c r="A447" s="105"/>
      <c r="B447" s="106"/>
      <c r="C447" s="107"/>
      <c r="D447" s="107"/>
      <c r="E447" s="108" t="str">
        <f t="shared" si="6"/>
        <v/>
      </c>
      <c r="F447" s="109"/>
      <c r="G447" s="112"/>
      <c r="H447" s="112"/>
      <c r="I447" s="109"/>
    </row>
    <row r="448" spans="1:9" s="81" customFormat="1">
      <c r="A448" s="105"/>
      <c r="B448" s="106"/>
      <c r="C448" s="107"/>
      <c r="D448" s="107"/>
      <c r="E448" s="108" t="str">
        <f t="shared" si="6"/>
        <v/>
      </c>
      <c r="F448" s="109"/>
      <c r="G448" s="112"/>
      <c r="H448" s="112"/>
      <c r="I448" s="109"/>
    </row>
    <row r="449" spans="1:9" s="81" customFormat="1">
      <c r="A449" s="105"/>
      <c r="B449" s="106"/>
      <c r="C449" s="107"/>
      <c r="D449" s="107"/>
      <c r="E449" s="108" t="str">
        <f t="shared" si="6"/>
        <v/>
      </c>
      <c r="F449" s="109"/>
      <c r="G449" s="112"/>
      <c r="H449" s="112"/>
      <c r="I449" s="109"/>
    </row>
    <row r="450" spans="1:9" s="81" customFormat="1">
      <c r="A450" s="105"/>
      <c r="B450" s="106"/>
      <c r="C450" s="107"/>
      <c r="D450" s="107"/>
      <c r="E450" s="108" t="str">
        <f t="shared" si="6"/>
        <v/>
      </c>
      <c r="F450" s="109"/>
      <c r="G450" s="112"/>
      <c r="H450" s="112"/>
      <c r="I450" s="109"/>
    </row>
    <row r="451" spans="1:9" s="81" customFormat="1">
      <c r="A451" s="105"/>
      <c r="B451" s="106"/>
      <c r="C451" s="107"/>
      <c r="D451" s="107"/>
      <c r="E451" s="108" t="str">
        <f t="shared" si="6"/>
        <v/>
      </c>
      <c r="F451" s="109"/>
      <c r="G451" s="112"/>
      <c r="H451" s="112"/>
      <c r="I451" s="109"/>
    </row>
    <row r="452" spans="1:9" s="81" customFormat="1">
      <c r="A452" s="105"/>
      <c r="B452" s="106"/>
      <c r="C452" s="107"/>
      <c r="D452" s="107"/>
      <c r="E452" s="108" t="str">
        <f t="shared" si="6"/>
        <v/>
      </c>
      <c r="F452" s="109"/>
      <c r="G452" s="112"/>
      <c r="H452" s="112"/>
      <c r="I452" s="109"/>
    </row>
    <row r="453" spans="1:9" s="81" customFormat="1">
      <c r="A453" s="105"/>
      <c r="B453" s="106"/>
      <c r="C453" s="107"/>
      <c r="D453" s="107"/>
      <c r="E453" s="108" t="str">
        <f t="shared" si="6"/>
        <v/>
      </c>
      <c r="F453" s="109"/>
      <c r="G453" s="112"/>
      <c r="H453" s="112"/>
      <c r="I453" s="109"/>
    </row>
    <row r="454" spans="1:9" s="81" customFormat="1">
      <c r="A454" s="105"/>
      <c r="B454" s="106"/>
      <c r="C454" s="107"/>
      <c r="D454" s="107"/>
      <c r="E454" s="108" t="str">
        <f t="shared" si="6"/>
        <v/>
      </c>
      <c r="F454" s="109"/>
      <c r="G454" s="112"/>
      <c r="H454" s="112"/>
      <c r="I454" s="109"/>
    </row>
    <row r="455" spans="1:9" s="81" customFormat="1">
      <c r="A455" s="105"/>
      <c r="B455" s="106"/>
      <c r="C455" s="107"/>
      <c r="D455" s="107"/>
      <c r="E455" s="108" t="str">
        <f t="shared" si="6"/>
        <v/>
      </c>
      <c r="F455" s="109"/>
      <c r="G455" s="112"/>
      <c r="H455" s="112"/>
      <c r="I455" s="109"/>
    </row>
    <row r="456" spans="1:9" s="81" customFormat="1">
      <c r="A456" s="105"/>
      <c r="B456" s="106"/>
      <c r="C456" s="107"/>
      <c r="D456" s="107"/>
      <c r="E456" s="108" t="str">
        <f t="shared" si="6"/>
        <v/>
      </c>
      <c r="F456" s="109"/>
      <c r="G456" s="112"/>
      <c r="H456" s="112"/>
      <c r="I456" s="109"/>
    </row>
    <row r="457" spans="1:9" s="81" customFormat="1">
      <c r="A457" s="105"/>
      <c r="B457" s="106"/>
      <c r="C457" s="107"/>
      <c r="D457" s="107"/>
      <c r="E457" s="108" t="str">
        <f t="shared" si="6"/>
        <v/>
      </c>
      <c r="F457" s="109"/>
      <c r="G457" s="112"/>
      <c r="H457" s="112"/>
      <c r="I457" s="109"/>
    </row>
    <row r="458" spans="1:9" s="81" customFormat="1">
      <c r="A458" s="105"/>
      <c r="B458" s="106"/>
      <c r="C458" s="107"/>
      <c r="D458" s="107"/>
      <c r="E458" s="108" t="str">
        <f t="shared" si="6"/>
        <v/>
      </c>
      <c r="F458" s="109"/>
      <c r="G458" s="112"/>
      <c r="H458" s="112"/>
      <c r="I458" s="109"/>
    </row>
    <row r="459" spans="1:9" s="81" customFormat="1">
      <c r="A459" s="105"/>
      <c r="B459" s="106"/>
      <c r="C459" s="107"/>
      <c r="D459" s="107"/>
      <c r="E459" s="108" t="str">
        <f t="shared" si="6"/>
        <v/>
      </c>
      <c r="F459" s="109"/>
      <c r="G459" s="112"/>
      <c r="H459" s="112"/>
      <c r="I459" s="109"/>
    </row>
    <row r="460" spans="1:9" s="81" customFormat="1">
      <c r="A460" s="105"/>
      <c r="B460" s="106"/>
      <c r="C460" s="107"/>
      <c r="D460" s="107"/>
      <c r="E460" s="108" t="str">
        <f t="shared" si="6"/>
        <v/>
      </c>
      <c r="F460" s="109"/>
      <c r="G460" s="112"/>
      <c r="H460" s="112"/>
      <c r="I460" s="109"/>
    </row>
    <row r="461" spans="1:9" s="81" customFormat="1">
      <c r="A461" s="105"/>
      <c r="B461" s="106"/>
      <c r="C461" s="107"/>
      <c r="D461" s="107"/>
      <c r="E461" s="108" t="str">
        <f t="shared" si="6"/>
        <v/>
      </c>
      <c r="F461" s="109"/>
      <c r="G461" s="112"/>
      <c r="H461" s="112"/>
      <c r="I461" s="109"/>
    </row>
    <row r="462" spans="1:9" s="81" customFormat="1">
      <c r="A462" s="105"/>
      <c r="B462" s="106"/>
      <c r="C462" s="107"/>
      <c r="D462" s="107"/>
      <c r="E462" s="108" t="str">
        <f t="shared" ref="E462:E505" si="7">IF(C462="","",IF(D462="","",D462-C462))</f>
        <v/>
      </c>
      <c r="F462" s="109"/>
      <c r="G462" s="112"/>
      <c r="H462" s="112"/>
      <c r="I462" s="109"/>
    </row>
    <row r="463" spans="1:9" s="81" customFormat="1">
      <c r="A463" s="105"/>
      <c r="B463" s="106"/>
      <c r="C463" s="107"/>
      <c r="D463" s="107"/>
      <c r="E463" s="108" t="str">
        <f t="shared" si="7"/>
        <v/>
      </c>
      <c r="F463" s="109"/>
      <c r="G463" s="112"/>
      <c r="H463" s="112"/>
      <c r="I463" s="109"/>
    </row>
    <row r="464" spans="1:9" s="81" customFormat="1">
      <c r="A464" s="105"/>
      <c r="B464" s="106"/>
      <c r="C464" s="107"/>
      <c r="D464" s="107"/>
      <c r="E464" s="108" t="str">
        <f t="shared" si="7"/>
        <v/>
      </c>
      <c r="F464" s="109"/>
      <c r="G464" s="112"/>
      <c r="H464" s="112"/>
      <c r="I464" s="109"/>
    </row>
    <row r="465" spans="1:9" s="81" customFormat="1">
      <c r="A465" s="105"/>
      <c r="B465" s="106"/>
      <c r="C465" s="107"/>
      <c r="D465" s="107"/>
      <c r="E465" s="108" t="str">
        <f t="shared" si="7"/>
        <v/>
      </c>
      <c r="F465" s="109"/>
      <c r="G465" s="112"/>
      <c r="H465" s="112"/>
      <c r="I465" s="109"/>
    </row>
    <row r="466" spans="1:9" s="81" customFormat="1">
      <c r="A466" s="105"/>
      <c r="B466" s="106"/>
      <c r="C466" s="107"/>
      <c r="D466" s="107"/>
      <c r="E466" s="108" t="str">
        <f t="shared" si="7"/>
        <v/>
      </c>
      <c r="F466" s="109"/>
      <c r="G466" s="112"/>
      <c r="H466" s="112"/>
      <c r="I466" s="109"/>
    </row>
    <row r="467" spans="1:9" s="81" customFormat="1">
      <c r="A467" s="105"/>
      <c r="B467" s="106"/>
      <c r="C467" s="107"/>
      <c r="D467" s="107"/>
      <c r="E467" s="108" t="str">
        <f t="shared" si="7"/>
        <v/>
      </c>
      <c r="F467" s="109"/>
      <c r="G467" s="112"/>
      <c r="H467" s="112"/>
      <c r="I467" s="109"/>
    </row>
    <row r="468" spans="1:9" s="81" customFormat="1">
      <c r="A468" s="105"/>
      <c r="B468" s="106"/>
      <c r="C468" s="107"/>
      <c r="D468" s="107"/>
      <c r="E468" s="108" t="str">
        <f t="shared" si="7"/>
        <v/>
      </c>
      <c r="F468" s="109"/>
      <c r="G468" s="112"/>
      <c r="H468" s="112"/>
      <c r="I468" s="109"/>
    </row>
    <row r="469" spans="1:9" s="81" customFormat="1">
      <c r="A469" s="105"/>
      <c r="B469" s="106"/>
      <c r="C469" s="107"/>
      <c r="D469" s="107"/>
      <c r="E469" s="108" t="str">
        <f t="shared" si="7"/>
        <v/>
      </c>
      <c r="F469" s="109"/>
      <c r="G469" s="112"/>
      <c r="H469" s="112"/>
      <c r="I469" s="109"/>
    </row>
    <row r="470" spans="1:9" s="81" customFormat="1">
      <c r="A470" s="105"/>
      <c r="B470" s="106"/>
      <c r="C470" s="107"/>
      <c r="D470" s="107"/>
      <c r="E470" s="108" t="str">
        <f t="shared" si="7"/>
        <v/>
      </c>
      <c r="F470" s="109"/>
      <c r="G470" s="112"/>
      <c r="H470" s="112"/>
      <c r="I470" s="109"/>
    </row>
    <row r="471" spans="1:9" s="81" customFormat="1">
      <c r="A471" s="105"/>
      <c r="B471" s="106"/>
      <c r="C471" s="107"/>
      <c r="D471" s="107"/>
      <c r="E471" s="108" t="str">
        <f t="shared" si="7"/>
        <v/>
      </c>
      <c r="F471" s="109"/>
      <c r="G471" s="112"/>
      <c r="H471" s="112"/>
      <c r="I471" s="109"/>
    </row>
    <row r="472" spans="1:9" s="81" customFormat="1">
      <c r="A472" s="105"/>
      <c r="B472" s="106"/>
      <c r="C472" s="107"/>
      <c r="D472" s="107"/>
      <c r="E472" s="108" t="str">
        <f t="shared" si="7"/>
        <v/>
      </c>
      <c r="F472" s="109"/>
      <c r="G472" s="112"/>
      <c r="H472" s="112"/>
      <c r="I472" s="109"/>
    </row>
    <row r="473" spans="1:9" s="81" customFormat="1">
      <c r="A473" s="105"/>
      <c r="B473" s="106"/>
      <c r="C473" s="107"/>
      <c r="D473" s="107"/>
      <c r="E473" s="108" t="str">
        <f t="shared" si="7"/>
        <v/>
      </c>
      <c r="F473" s="109"/>
      <c r="G473" s="112"/>
      <c r="H473" s="112"/>
      <c r="I473" s="109"/>
    </row>
    <row r="474" spans="1:9" s="81" customFormat="1">
      <c r="A474" s="105"/>
      <c r="B474" s="106"/>
      <c r="C474" s="107"/>
      <c r="D474" s="107"/>
      <c r="E474" s="108" t="str">
        <f t="shared" si="7"/>
        <v/>
      </c>
      <c r="F474" s="109"/>
      <c r="G474" s="112"/>
      <c r="H474" s="112"/>
      <c r="I474" s="109"/>
    </row>
    <row r="475" spans="1:9" s="81" customFormat="1">
      <c r="A475" s="105"/>
      <c r="B475" s="106"/>
      <c r="C475" s="107"/>
      <c r="D475" s="107"/>
      <c r="E475" s="108" t="str">
        <f t="shared" si="7"/>
        <v/>
      </c>
      <c r="F475" s="109"/>
      <c r="G475" s="112"/>
      <c r="H475" s="112"/>
      <c r="I475" s="109"/>
    </row>
    <row r="476" spans="1:9" s="81" customFormat="1">
      <c r="A476" s="105"/>
      <c r="B476" s="106"/>
      <c r="C476" s="107"/>
      <c r="D476" s="107"/>
      <c r="E476" s="108" t="str">
        <f t="shared" si="7"/>
        <v/>
      </c>
      <c r="F476" s="109"/>
      <c r="G476" s="112"/>
      <c r="H476" s="112"/>
      <c r="I476" s="109"/>
    </row>
    <row r="477" spans="1:9" s="81" customFormat="1">
      <c r="A477" s="105"/>
      <c r="B477" s="106"/>
      <c r="C477" s="107"/>
      <c r="D477" s="107"/>
      <c r="E477" s="108" t="str">
        <f t="shared" si="7"/>
        <v/>
      </c>
      <c r="F477" s="109"/>
      <c r="G477" s="112"/>
      <c r="H477" s="112"/>
      <c r="I477" s="109"/>
    </row>
    <row r="478" spans="1:9" s="81" customFormat="1">
      <c r="A478" s="105"/>
      <c r="B478" s="106"/>
      <c r="C478" s="107"/>
      <c r="D478" s="107"/>
      <c r="E478" s="108" t="str">
        <f t="shared" si="7"/>
        <v/>
      </c>
      <c r="F478" s="109"/>
      <c r="G478" s="112"/>
      <c r="H478" s="112"/>
      <c r="I478" s="109"/>
    </row>
    <row r="479" spans="1:9" s="81" customFormat="1">
      <c r="A479" s="105"/>
      <c r="B479" s="106"/>
      <c r="C479" s="107"/>
      <c r="D479" s="107"/>
      <c r="E479" s="108" t="str">
        <f t="shared" si="7"/>
        <v/>
      </c>
      <c r="F479" s="109"/>
      <c r="G479" s="112"/>
      <c r="H479" s="112"/>
      <c r="I479" s="109"/>
    </row>
    <row r="480" spans="1:9" s="81" customFormat="1">
      <c r="A480" s="105"/>
      <c r="B480" s="106"/>
      <c r="C480" s="107"/>
      <c r="D480" s="107"/>
      <c r="E480" s="108" t="str">
        <f t="shared" si="7"/>
        <v/>
      </c>
      <c r="F480" s="109"/>
      <c r="G480" s="112"/>
      <c r="H480" s="112"/>
      <c r="I480" s="109"/>
    </row>
    <row r="481" spans="1:9" s="81" customFormat="1">
      <c r="A481" s="105"/>
      <c r="B481" s="106"/>
      <c r="C481" s="107"/>
      <c r="D481" s="107"/>
      <c r="E481" s="108" t="str">
        <f t="shared" si="7"/>
        <v/>
      </c>
      <c r="F481" s="109"/>
      <c r="G481" s="112"/>
      <c r="H481" s="112"/>
      <c r="I481" s="109"/>
    </row>
    <row r="482" spans="1:9" s="81" customFormat="1">
      <c r="A482" s="105"/>
      <c r="B482" s="106"/>
      <c r="C482" s="107"/>
      <c r="D482" s="107"/>
      <c r="E482" s="108" t="str">
        <f t="shared" si="7"/>
        <v/>
      </c>
      <c r="F482" s="109"/>
      <c r="G482" s="112"/>
      <c r="H482" s="112"/>
      <c r="I482" s="109"/>
    </row>
    <row r="483" spans="1:9" s="81" customFormat="1">
      <c r="A483" s="105"/>
      <c r="B483" s="106"/>
      <c r="C483" s="107"/>
      <c r="D483" s="107"/>
      <c r="E483" s="108" t="str">
        <f t="shared" si="7"/>
        <v/>
      </c>
      <c r="F483" s="109"/>
      <c r="G483" s="112"/>
      <c r="H483" s="112"/>
      <c r="I483" s="109"/>
    </row>
    <row r="484" spans="1:9" s="81" customFormat="1">
      <c r="A484" s="105"/>
      <c r="B484" s="106"/>
      <c r="C484" s="107"/>
      <c r="D484" s="107"/>
      <c r="E484" s="108" t="str">
        <f t="shared" si="7"/>
        <v/>
      </c>
      <c r="F484" s="109"/>
      <c r="G484" s="112"/>
      <c r="H484" s="112"/>
      <c r="I484" s="109"/>
    </row>
    <row r="485" spans="1:9" s="81" customFormat="1">
      <c r="A485" s="105"/>
      <c r="B485" s="106"/>
      <c r="C485" s="107"/>
      <c r="D485" s="107"/>
      <c r="E485" s="108" t="str">
        <f t="shared" si="7"/>
        <v/>
      </c>
      <c r="F485" s="109"/>
      <c r="G485" s="112"/>
      <c r="H485" s="112"/>
      <c r="I485" s="109"/>
    </row>
    <row r="486" spans="1:9" s="81" customFormat="1">
      <c r="A486" s="105"/>
      <c r="B486" s="106"/>
      <c r="C486" s="107"/>
      <c r="D486" s="107"/>
      <c r="E486" s="108" t="str">
        <f t="shared" si="7"/>
        <v/>
      </c>
      <c r="F486" s="109"/>
      <c r="G486" s="112"/>
      <c r="H486" s="112"/>
      <c r="I486" s="109"/>
    </row>
    <row r="487" spans="1:9" s="81" customFormat="1">
      <c r="A487" s="105"/>
      <c r="B487" s="106"/>
      <c r="C487" s="107"/>
      <c r="D487" s="107"/>
      <c r="E487" s="108" t="str">
        <f t="shared" si="7"/>
        <v/>
      </c>
      <c r="F487" s="109"/>
      <c r="G487" s="112"/>
      <c r="H487" s="112"/>
      <c r="I487" s="109"/>
    </row>
    <row r="488" spans="1:9" s="81" customFormat="1">
      <c r="A488" s="105"/>
      <c r="B488" s="106"/>
      <c r="C488" s="107"/>
      <c r="D488" s="107"/>
      <c r="E488" s="108" t="str">
        <f t="shared" si="7"/>
        <v/>
      </c>
      <c r="F488" s="109"/>
      <c r="G488" s="112"/>
      <c r="H488" s="112"/>
      <c r="I488" s="109"/>
    </row>
    <row r="489" spans="1:9" s="81" customFormat="1">
      <c r="A489" s="105"/>
      <c r="B489" s="106"/>
      <c r="C489" s="107"/>
      <c r="D489" s="107"/>
      <c r="E489" s="108" t="str">
        <f t="shared" si="7"/>
        <v/>
      </c>
      <c r="F489" s="109"/>
      <c r="G489" s="112"/>
      <c r="H489" s="112"/>
      <c r="I489" s="109"/>
    </row>
    <row r="490" spans="1:9" s="81" customFormat="1">
      <c r="A490" s="105"/>
      <c r="B490" s="106"/>
      <c r="C490" s="107"/>
      <c r="D490" s="107"/>
      <c r="E490" s="108" t="str">
        <f t="shared" si="7"/>
        <v/>
      </c>
      <c r="F490" s="109"/>
      <c r="G490" s="112"/>
      <c r="H490" s="112"/>
      <c r="I490" s="109"/>
    </row>
    <row r="491" spans="1:9" s="81" customFormat="1">
      <c r="A491" s="105"/>
      <c r="B491" s="106"/>
      <c r="C491" s="107"/>
      <c r="D491" s="107"/>
      <c r="E491" s="108" t="str">
        <f t="shared" si="7"/>
        <v/>
      </c>
      <c r="F491" s="109"/>
      <c r="G491" s="112"/>
      <c r="H491" s="112"/>
      <c r="I491" s="109"/>
    </row>
    <row r="492" spans="1:9" s="81" customFormat="1">
      <c r="A492" s="105"/>
      <c r="B492" s="106"/>
      <c r="C492" s="107"/>
      <c r="D492" s="107"/>
      <c r="E492" s="108" t="str">
        <f t="shared" si="7"/>
        <v/>
      </c>
      <c r="F492" s="109"/>
      <c r="G492" s="112"/>
      <c r="H492" s="112"/>
      <c r="I492" s="109"/>
    </row>
    <row r="493" spans="1:9" s="81" customFormat="1">
      <c r="A493" s="105"/>
      <c r="B493" s="106"/>
      <c r="C493" s="107"/>
      <c r="D493" s="107"/>
      <c r="E493" s="108" t="str">
        <f t="shared" si="7"/>
        <v/>
      </c>
      <c r="F493" s="109"/>
      <c r="G493" s="112"/>
      <c r="H493" s="112"/>
      <c r="I493" s="109"/>
    </row>
    <row r="494" spans="1:9" s="81" customFormat="1">
      <c r="A494" s="105"/>
      <c r="B494" s="106"/>
      <c r="C494" s="107"/>
      <c r="D494" s="107"/>
      <c r="E494" s="108" t="str">
        <f t="shared" si="7"/>
        <v/>
      </c>
      <c r="F494" s="109"/>
      <c r="G494" s="112"/>
      <c r="H494" s="112"/>
      <c r="I494" s="109"/>
    </row>
    <row r="495" spans="1:9" s="81" customFormat="1">
      <c r="A495" s="105"/>
      <c r="B495" s="106"/>
      <c r="C495" s="107"/>
      <c r="D495" s="107"/>
      <c r="E495" s="108" t="str">
        <f t="shared" si="7"/>
        <v/>
      </c>
      <c r="F495" s="109"/>
      <c r="G495" s="112"/>
      <c r="H495" s="112"/>
      <c r="I495" s="109"/>
    </row>
    <row r="496" spans="1:9" s="81" customFormat="1">
      <c r="A496" s="105"/>
      <c r="B496" s="106"/>
      <c r="C496" s="107"/>
      <c r="D496" s="107"/>
      <c r="E496" s="108" t="str">
        <f t="shared" si="7"/>
        <v/>
      </c>
      <c r="F496" s="109"/>
      <c r="G496" s="112"/>
      <c r="H496" s="112"/>
      <c r="I496" s="109"/>
    </row>
    <row r="497" spans="1:9" s="81" customFormat="1">
      <c r="A497" s="105"/>
      <c r="B497" s="106"/>
      <c r="C497" s="107"/>
      <c r="D497" s="107"/>
      <c r="E497" s="108" t="str">
        <f t="shared" si="7"/>
        <v/>
      </c>
      <c r="F497" s="109"/>
      <c r="G497" s="112"/>
      <c r="H497" s="112"/>
      <c r="I497" s="109"/>
    </row>
    <row r="498" spans="1:9" s="81" customFormat="1">
      <c r="A498" s="105"/>
      <c r="B498" s="106"/>
      <c r="C498" s="107"/>
      <c r="D498" s="107"/>
      <c r="E498" s="108" t="str">
        <f t="shared" si="7"/>
        <v/>
      </c>
      <c r="F498" s="109"/>
      <c r="G498" s="112"/>
      <c r="H498" s="112"/>
      <c r="I498" s="109"/>
    </row>
    <row r="499" spans="1:9" s="81" customFormat="1">
      <c r="A499" s="105"/>
      <c r="B499" s="106"/>
      <c r="C499" s="107"/>
      <c r="D499" s="107"/>
      <c r="E499" s="108" t="str">
        <f t="shared" si="7"/>
        <v/>
      </c>
      <c r="F499" s="109"/>
      <c r="G499" s="112"/>
      <c r="H499" s="112"/>
      <c r="I499" s="109"/>
    </row>
    <row r="500" spans="1:9" s="81" customFormat="1">
      <c r="A500" s="105"/>
      <c r="B500" s="106"/>
      <c r="C500" s="107"/>
      <c r="D500" s="107"/>
      <c r="E500" s="108" t="str">
        <f t="shared" si="7"/>
        <v/>
      </c>
      <c r="F500" s="109"/>
      <c r="G500" s="112"/>
      <c r="H500" s="112"/>
      <c r="I500" s="109"/>
    </row>
    <row r="501" spans="1:9" s="81" customFormat="1">
      <c r="A501" s="105"/>
      <c r="B501" s="106"/>
      <c r="C501" s="107"/>
      <c r="D501" s="107"/>
      <c r="E501" s="108" t="str">
        <f t="shared" si="7"/>
        <v/>
      </c>
      <c r="F501" s="109"/>
      <c r="G501" s="112"/>
      <c r="H501" s="112"/>
      <c r="I501" s="109"/>
    </row>
    <row r="502" spans="1:9" s="81" customFormat="1">
      <c r="A502" s="105"/>
      <c r="B502" s="106"/>
      <c r="C502" s="107"/>
      <c r="D502" s="107"/>
      <c r="E502" s="108" t="str">
        <f t="shared" si="7"/>
        <v/>
      </c>
      <c r="F502" s="109"/>
      <c r="G502" s="112"/>
      <c r="H502" s="112"/>
      <c r="I502" s="109"/>
    </row>
    <row r="503" spans="1:9" s="81" customFormat="1">
      <c r="A503" s="105"/>
      <c r="B503" s="106"/>
      <c r="C503" s="107"/>
      <c r="D503" s="107"/>
      <c r="E503" s="108" t="str">
        <f t="shared" si="7"/>
        <v/>
      </c>
      <c r="F503" s="109"/>
      <c r="G503" s="112"/>
      <c r="H503" s="112"/>
      <c r="I503" s="109"/>
    </row>
    <row r="504" spans="1:9" s="81" customFormat="1">
      <c r="A504" s="105"/>
      <c r="B504" s="106"/>
      <c r="C504" s="107"/>
      <c r="D504" s="107"/>
      <c r="E504" s="108" t="str">
        <f t="shared" si="7"/>
        <v/>
      </c>
      <c r="F504" s="109"/>
      <c r="G504" s="112"/>
      <c r="H504" s="112"/>
      <c r="I504" s="109"/>
    </row>
    <row r="505" spans="1:9" s="81" customFormat="1">
      <c r="A505" s="105"/>
      <c r="B505" s="106"/>
      <c r="C505" s="107"/>
      <c r="D505" s="107"/>
      <c r="E505" s="108" t="str">
        <f t="shared" si="7"/>
        <v/>
      </c>
      <c r="F505" s="109"/>
      <c r="G505" s="112"/>
      <c r="H505" s="112"/>
      <c r="I505" s="109"/>
    </row>
  </sheetData>
  <sheetProtection selectLockedCells="1"/>
  <mergeCells count="2">
    <mergeCell ref="C2:F2"/>
    <mergeCell ref="B3:B4"/>
  </mergeCells>
  <conditionalFormatting sqref="F12:I28 F30:I35 F37:I505">
    <cfRule type="expression" dxfId="9" priority="8">
      <formula>F12="Not Started"</formula>
    </cfRule>
    <cfRule type="expression" dxfId="8" priority="9">
      <formula>F12="Overdue"</formula>
    </cfRule>
    <cfRule type="expression" dxfId="7" priority="10">
      <formula>F12="Complete"</formula>
    </cfRule>
  </conditionalFormatting>
  <conditionalFormatting sqref="D6">
    <cfRule type="expression" dxfId="6" priority="7">
      <formula>D6&lt;0</formula>
    </cfRule>
  </conditionalFormatting>
  <conditionalFormatting sqref="F29:I29">
    <cfRule type="expression" dxfId="5" priority="4">
      <formula>F29="Not Started"</formula>
    </cfRule>
    <cfRule type="expression" dxfId="4" priority="5">
      <formula>F29="Overdue"</formula>
    </cfRule>
    <cfRule type="expression" dxfId="3" priority="6">
      <formula>F29="Complete"</formula>
    </cfRule>
  </conditionalFormatting>
  <conditionalFormatting sqref="F36:I36">
    <cfRule type="expression" dxfId="2" priority="1">
      <formula>F36="Not Started"</formula>
    </cfRule>
    <cfRule type="expression" dxfId="1" priority="2">
      <formula>F36="Overdue"</formula>
    </cfRule>
    <cfRule type="expression" dxfId="0" priority="3">
      <formula>F36="Complete"</formula>
    </cfRule>
  </conditionalFormatting>
  <dataValidations count="3">
    <dataValidation type="decimal" allowBlank="1" showInputMessage="1" showErrorMessage="1" promptTitle="Insert Amount Here" sqref="WVO983052:WVP983545 G65548:H66041 JC65548:JD66041 SY65548:SZ66041 ACU65548:ACV66041 AMQ65548:AMR66041 AWM65548:AWN66041 BGI65548:BGJ66041 BQE65548:BQF66041 CAA65548:CAB66041 CJW65548:CJX66041 CTS65548:CTT66041 DDO65548:DDP66041 DNK65548:DNL66041 DXG65548:DXH66041 EHC65548:EHD66041 EQY65548:EQZ66041 FAU65548:FAV66041 FKQ65548:FKR66041 FUM65548:FUN66041 GEI65548:GEJ66041 GOE65548:GOF66041 GYA65548:GYB66041 HHW65548:HHX66041 HRS65548:HRT66041 IBO65548:IBP66041 ILK65548:ILL66041 IVG65548:IVH66041 JFC65548:JFD66041 JOY65548:JOZ66041 JYU65548:JYV66041 KIQ65548:KIR66041 KSM65548:KSN66041 LCI65548:LCJ66041 LME65548:LMF66041 LWA65548:LWB66041 MFW65548:MFX66041 MPS65548:MPT66041 MZO65548:MZP66041 NJK65548:NJL66041 NTG65548:NTH66041 ODC65548:ODD66041 OMY65548:OMZ66041 OWU65548:OWV66041 PGQ65548:PGR66041 PQM65548:PQN66041 QAI65548:QAJ66041 QKE65548:QKF66041 QUA65548:QUB66041 RDW65548:RDX66041 RNS65548:RNT66041 RXO65548:RXP66041 SHK65548:SHL66041 SRG65548:SRH66041 TBC65548:TBD66041 TKY65548:TKZ66041 TUU65548:TUV66041 UEQ65548:UER66041 UOM65548:UON66041 UYI65548:UYJ66041 VIE65548:VIF66041 VSA65548:VSB66041 WBW65548:WBX66041 WLS65548:WLT66041 WVO65548:WVP66041 G131084:H131577 JC131084:JD131577 SY131084:SZ131577 ACU131084:ACV131577 AMQ131084:AMR131577 AWM131084:AWN131577 BGI131084:BGJ131577 BQE131084:BQF131577 CAA131084:CAB131577 CJW131084:CJX131577 CTS131084:CTT131577 DDO131084:DDP131577 DNK131084:DNL131577 DXG131084:DXH131577 EHC131084:EHD131577 EQY131084:EQZ131577 FAU131084:FAV131577 FKQ131084:FKR131577 FUM131084:FUN131577 GEI131084:GEJ131577 GOE131084:GOF131577 GYA131084:GYB131577 HHW131084:HHX131577 HRS131084:HRT131577 IBO131084:IBP131577 ILK131084:ILL131577 IVG131084:IVH131577 JFC131084:JFD131577 JOY131084:JOZ131577 JYU131084:JYV131577 KIQ131084:KIR131577 KSM131084:KSN131577 LCI131084:LCJ131577 LME131084:LMF131577 LWA131084:LWB131577 MFW131084:MFX131577 MPS131084:MPT131577 MZO131084:MZP131577 NJK131084:NJL131577 NTG131084:NTH131577 ODC131084:ODD131577 OMY131084:OMZ131577 OWU131084:OWV131577 PGQ131084:PGR131577 PQM131084:PQN131577 QAI131084:QAJ131577 QKE131084:QKF131577 QUA131084:QUB131577 RDW131084:RDX131577 RNS131084:RNT131577 RXO131084:RXP131577 SHK131084:SHL131577 SRG131084:SRH131577 TBC131084:TBD131577 TKY131084:TKZ131577 TUU131084:TUV131577 UEQ131084:UER131577 UOM131084:UON131577 UYI131084:UYJ131577 VIE131084:VIF131577 VSA131084:VSB131577 WBW131084:WBX131577 WLS131084:WLT131577 WVO131084:WVP131577 G196620:H197113 JC196620:JD197113 SY196620:SZ197113 ACU196620:ACV197113 AMQ196620:AMR197113 AWM196620:AWN197113 BGI196620:BGJ197113 BQE196620:BQF197113 CAA196620:CAB197113 CJW196620:CJX197113 CTS196620:CTT197113 DDO196620:DDP197113 DNK196620:DNL197113 DXG196620:DXH197113 EHC196620:EHD197113 EQY196620:EQZ197113 FAU196620:FAV197113 FKQ196620:FKR197113 FUM196620:FUN197113 GEI196620:GEJ197113 GOE196620:GOF197113 GYA196620:GYB197113 HHW196620:HHX197113 HRS196620:HRT197113 IBO196620:IBP197113 ILK196620:ILL197113 IVG196620:IVH197113 JFC196620:JFD197113 JOY196620:JOZ197113 JYU196620:JYV197113 KIQ196620:KIR197113 KSM196620:KSN197113 LCI196620:LCJ197113 LME196620:LMF197113 LWA196620:LWB197113 MFW196620:MFX197113 MPS196620:MPT197113 MZO196620:MZP197113 NJK196620:NJL197113 NTG196620:NTH197113 ODC196620:ODD197113 OMY196620:OMZ197113 OWU196620:OWV197113 PGQ196620:PGR197113 PQM196620:PQN197113 QAI196620:QAJ197113 QKE196620:QKF197113 QUA196620:QUB197113 RDW196620:RDX197113 RNS196620:RNT197113 RXO196620:RXP197113 SHK196620:SHL197113 SRG196620:SRH197113 TBC196620:TBD197113 TKY196620:TKZ197113 TUU196620:TUV197113 UEQ196620:UER197113 UOM196620:UON197113 UYI196620:UYJ197113 VIE196620:VIF197113 VSA196620:VSB197113 WBW196620:WBX197113 WLS196620:WLT197113 WVO196620:WVP197113 G262156:H262649 JC262156:JD262649 SY262156:SZ262649 ACU262156:ACV262649 AMQ262156:AMR262649 AWM262156:AWN262649 BGI262156:BGJ262649 BQE262156:BQF262649 CAA262156:CAB262649 CJW262156:CJX262649 CTS262156:CTT262649 DDO262156:DDP262649 DNK262156:DNL262649 DXG262156:DXH262649 EHC262156:EHD262649 EQY262156:EQZ262649 FAU262156:FAV262649 FKQ262156:FKR262649 FUM262156:FUN262649 GEI262156:GEJ262649 GOE262156:GOF262649 GYA262156:GYB262649 HHW262156:HHX262649 HRS262156:HRT262649 IBO262156:IBP262649 ILK262156:ILL262649 IVG262156:IVH262649 JFC262156:JFD262649 JOY262156:JOZ262649 JYU262156:JYV262649 KIQ262156:KIR262649 KSM262156:KSN262649 LCI262156:LCJ262649 LME262156:LMF262649 LWA262156:LWB262649 MFW262156:MFX262649 MPS262156:MPT262649 MZO262156:MZP262649 NJK262156:NJL262649 NTG262156:NTH262649 ODC262156:ODD262649 OMY262156:OMZ262649 OWU262156:OWV262649 PGQ262156:PGR262649 PQM262156:PQN262649 QAI262156:QAJ262649 QKE262156:QKF262649 QUA262156:QUB262649 RDW262156:RDX262649 RNS262156:RNT262649 RXO262156:RXP262649 SHK262156:SHL262649 SRG262156:SRH262649 TBC262156:TBD262649 TKY262156:TKZ262649 TUU262156:TUV262649 UEQ262156:UER262649 UOM262156:UON262649 UYI262156:UYJ262649 VIE262156:VIF262649 VSA262156:VSB262649 WBW262156:WBX262649 WLS262156:WLT262649 WVO262156:WVP262649 G327692:H328185 JC327692:JD328185 SY327692:SZ328185 ACU327692:ACV328185 AMQ327692:AMR328185 AWM327692:AWN328185 BGI327692:BGJ328185 BQE327692:BQF328185 CAA327692:CAB328185 CJW327692:CJX328185 CTS327692:CTT328185 DDO327692:DDP328185 DNK327692:DNL328185 DXG327692:DXH328185 EHC327692:EHD328185 EQY327692:EQZ328185 FAU327692:FAV328185 FKQ327692:FKR328185 FUM327692:FUN328185 GEI327692:GEJ328185 GOE327692:GOF328185 GYA327692:GYB328185 HHW327692:HHX328185 HRS327692:HRT328185 IBO327692:IBP328185 ILK327692:ILL328185 IVG327692:IVH328185 JFC327692:JFD328185 JOY327692:JOZ328185 JYU327692:JYV328185 KIQ327692:KIR328185 KSM327692:KSN328185 LCI327692:LCJ328185 LME327692:LMF328185 LWA327692:LWB328185 MFW327692:MFX328185 MPS327692:MPT328185 MZO327692:MZP328185 NJK327692:NJL328185 NTG327692:NTH328185 ODC327692:ODD328185 OMY327692:OMZ328185 OWU327692:OWV328185 PGQ327692:PGR328185 PQM327692:PQN328185 QAI327692:QAJ328185 QKE327692:QKF328185 QUA327692:QUB328185 RDW327692:RDX328185 RNS327692:RNT328185 RXO327692:RXP328185 SHK327692:SHL328185 SRG327692:SRH328185 TBC327692:TBD328185 TKY327692:TKZ328185 TUU327692:TUV328185 UEQ327692:UER328185 UOM327692:UON328185 UYI327692:UYJ328185 VIE327692:VIF328185 VSA327692:VSB328185 WBW327692:WBX328185 WLS327692:WLT328185 WVO327692:WVP328185 G393228:H393721 JC393228:JD393721 SY393228:SZ393721 ACU393228:ACV393721 AMQ393228:AMR393721 AWM393228:AWN393721 BGI393228:BGJ393721 BQE393228:BQF393721 CAA393228:CAB393721 CJW393228:CJX393721 CTS393228:CTT393721 DDO393228:DDP393721 DNK393228:DNL393721 DXG393228:DXH393721 EHC393228:EHD393721 EQY393228:EQZ393721 FAU393228:FAV393721 FKQ393228:FKR393721 FUM393228:FUN393721 GEI393228:GEJ393721 GOE393228:GOF393721 GYA393228:GYB393721 HHW393228:HHX393721 HRS393228:HRT393721 IBO393228:IBP393721 ILK393228:ILL393721 IVG393228:IVH393721 JFC393228:JFD393721 JOY393228:JOZ393721 JYU393228:JYV393721 KIQ393228:KIR393721 KSM393228:KSN393721 LCI393228:LCJ393721 LME393228:LMF393721 LWA393228:LWB393721 MFW393228:MFX393721 MPS393228:MPT393721 MZO393228:MZP393721 NJK393228:NJL393721 NTG393228:NTH393721 ODC393228:ODD393721 OMY393228:OMZ393721 OWU393228:OWV393721 PGQ393228:PGR393721 PQM393228:PQN393721 QAI393228:QAJ393721 QKE393228:QKF393721 QUA393228:QUB393721 RDW393228:RDX393721 RNS393228:RNT393721 RXO393228:RXP393721 SHK393228:SHL393721 SRG393228:SRH393721 TBC393228:TBD393721 TKY393228:TKZ393721 TUU393228:TUV393721 UEQ393228:UER393721 UOM393228:UON393721 UYI393228:UYJ393721 VIE393228:VIF393721 VSA393228:VSB393721 WBW393228:WBX393721 WLS393228:WLT393721 WVO393228:WVP393721 G458764:H459257 JC458764:JD459257 SY458764:SZ459257 ACU458764:ACV459257 AMQ458764:AMR459257 AWM458764:AWN459257 BGI458764:BGJ459257 BQE458764:BQF459257 CAA458764:CAB459257 CJW458764:CJX459257 CTS458764:CTT459257 DDO458764:DDP459257 DNK458764:DNL459257 DXG458764:DXH459257 EHC458764:EHD459257 EQY458764:EQZ459257 FAU458764:FAV459257 FKQ458764:FKR459257 FUM458764:FUN459257 GEI458764:GEJ459257 GOE458764:GOF459257 GYA458764:GYB459257 HHW458764:HHX459257 HRS458764:HRT459257 IBO458764:IBP459257 ILK458764:ILL459257 IVG458764:IVH459257 JFC458764:JFD459257 JOY458764:JOZ459257 JYU458764:JYV459257 KIQ458764:KIR459257 KSM458764:KSN459257 LCI458764:LCJ459257 LME458764:LMF459257 LWA458764:LWB459257 MFW458764:MFX459257 MPS458764:MPT459257 MZO458764:MZP459257 NJK458764:NJL459257 NTG458764:NTH459257 ODC458764:ODD459257 OMY458764:OMZ459257 OWU458764:OWV459257 PGQ458764:PGR459257 PQM458764:PQN459257 QAI458764:QAJ459257 QKE458764:QKF459257 QUA458764:QUB459257 RDW458764:RDX459257 RNS458764:RNT459257 RXO458764:RXP459257 SHK458764:SHL459257 SRG458764:SRH459257 TBC458764:TBD459257 TKY458764:TKZ459257 TUU458764:TUV459257 UEQ458764:UER459257 UOM458764:UON459257 UYI458764:UYJ459257 VIE458764:VIF459257 VSA458764:VSB459257 WBW458764:WBX459257 WLS458764:WLT459257 WVO458764:WVP459257 G524300:H524793 JC524300:JD524793 SY524300:SZ524793 ACU524300:ACV524793 AMQ524300:AMR524793 AWM524300:AWN524793 BGI524300:BGJ524793 BQE524300:BQF524793 CAA524300:CAB524793 CJW524300:CJX524793 CTS524300:CTT524793 DDO524300:DDP524793 DNK524300:DNL524793 DXG524300:DXH524793 EHC524300:EHD524793 EQY524300:EQZ524793 FAU524300:FAV524793 FKQ524300:FKR524793 FUM524300:FUN524793 GEI524300:GEJ524793 GOE524300:GOF524793 GYA524300:GYB524793 HHW524300:HHX524793 HRS524300:HRT524793 IBO524300:IBP524793 ILK524300:ILL524793 IVG524300:IVH524793 JFC524300:JFD524793 JOY524300:JOZ524793 JYU524300:JYV524793 KIQ524300:KIR524793 KSM524300:KSN524793 LCI524300:LCJ524793 LME524300:LMF524793 LWA524300:LWB524793 MFW524300:MFX524793 MPS524300:MPT524793 MZO524300:MZP524793 NJK524300:NJL524793 NTG524300:NTH524793 ODC524300:ODD524793 OMY524300:OMZ524793 OWU524300:OWV524793 PGQ524300:PGR524793 PQM524300:PQN524793 QAI524300:QAJ524793 QKE524300:QKF524793 QUA524300:QUB524793 RDW524300:RDX524793 RNS524300:RNT524793 RXO524300:RXP524793 SHK524300:SHL524793 SRG524300:SRH524793 TBC524300:TBD524793 TKY524300:TKZ524793 TUU524300:TUV524793 UEQ524300:UER524793 UOM524300:UON524793 UYI524300:UYJ524793 VIE524300:VIF524793 VSA524300:VSB524793 WBW524300:WBX524793 WLS524300:WLT524793 WVO524300:WVP524793 G589836:H590329 JC589836:JD590329 SY589836:SZ590329 ACU589836:ACV590329 AMQ589836:AMR590329 AWM589836:AWN590329 BGI589836:BGJ590329 BQE589836:BQF590329 CAA589836:CAB590329 CJW589836:CJX590329 CTS589836:CTT590329 DDO589836:DDP590329 DNK589836:DNL590329 DXG589836:DXH590329 EHC589836:EHD590329 EQY589836:EQZ590329 FAU589836:FAV590329 FKQ589836:FKR590329 FUM589836:FUN590329 GEI589836:GEJ590329 GOE589836:GOF590329 GYA589836:GYB590329 HHW589836:HHX590329 HRS589836:HRT590329 IBO589836:IBP590329 ILK589836:ILL590329 IVG589836:IVH590329 JFC589836:JFD590329 JOY589836:JOZ590329 JYU589836:JYV590329 KIQ589836:KIR590329 KSM589836:KSN590329 LCI589836:LCJ590329 LME589836:LMF590329 LWA589836:LWB590329 MFW589836:MFX590329 MPS589836:MPT590329 MZO589836:MZP590329 NJK589836:NJL590329 NTG589836:NTH590329 ODC589836:ODD590329 OMY589836:OMZ590329 OWU589836:OWV590329 PGQ589836:PGR590329 PQM589836:PQN590329 QAI589836:QAJ590329 QKE589836:QKF590329 QUA589836:QUB590329 RDW589836:RDX590329 RNS589836:RNT590329 RXO589836:RXP590329 SHK589836:SHL590329 SRG589836:SRH590329 TBC589836:TBD590329 TKY589836:TKZ590329 TUU589836:TUV590329 UEQ589836:UER590329 UOM589836:UON590329 UYI589836:UYJ590329 VIE589836:VIF590329 VSA589836:VSB590329 WBW589836:WBX590329 WLS589836:WLT590329 WVO589836:WVP590329 G655372:H655865 JC655372:JD655865 SY655372:SZ655865 ACU655372:ACV655865 AMQ655372:AMR655865 AWM655372:AWN655865 BGI655372:BGJ655865 BQE655372:BQF655865 CAA655372:CAB655865 CJW655372:CJX655865 CTS655372:CTT655865 DDO655372:DDP655865 DNK655372:DNL655865 DXG655372:DXH655865 EHC655372:EHD655865 EQY655372:EQZ655865 FAU655372:FAV655865 FKQ655372:FKR655865 FUM655372:FUN655865 GEI655372:GEJ655865 GOE655372:GOF655865 GYA655372:GYB655865 HHW655372:HHX655865 HRS655372:HRT655865 IBO655372:IBP655865 ILK655372:ILL655865 IVG655372:IVH655865 JFC655372:JFD655865 JOY655372:JOZ655865 JYU655372:JYV655865 KIQ655372:KIR655865 KSM655372:KSN655865 LCI655372:LCJ655865 LME655372:LMF655865 LWA655372:LWB655865 MFW655372:MFX655865 MPS655372:MPT655865 MZO655372:MZP655865 NJK655372:NJL655865 NTG655372:NTH655865 ODC655372:ODD655865 OMY655372:OMZ655865 OWU655372:OWV655865 PGQ655372:PGR655865 PQM655372:PQN655865 QAI655372:QAJ655865 QKE655372:QKF655865 QUA655372:QUB655865 RDW655372:RDX655865 RNS655372:RNT655865 RXO655372:RXP655865 SHK655372:SHL655865 SRG655372:SRH655865 TBC655372:TBD655865 TKY655372:TKZ655865 TUU655372:TUV655865 UEQ655372:UER655865 UOM655372:UON655865 UYI655372:UYJ655865 VIE655372:VIF655865 VSA655372:VSB655865 WBW655372:WBX655865 WLS655372:WLT655865 WVO655372:WVP655865 G720908:H721401 JC720908:JD721401 SY720908:SZ721401 ACU720908:ACV721401 AMQ720908:AMR721401 AWM720908:AWN721401 BGI720908:BGJ721401 BQE720908:BQF721401 CAA720908:CAB721401 CJW720908:CJX721401 CTS720908:CTT721401 DDO720908:DDP721401 DNK720908:DNL721401 DXG720908:DXH721401 EHC720908:EHD721401 EQY720908:EQZ721401 FAU720908:FAV721401 FKQ720908:FKR721401 FUM720908:FUN721401 GEI720908:GEJ721401 GOE720908:GOF721401 GYA720908:GYB721401 HHW720908:HHX721401 HRS720908:HRT721401 IBO720908:IBP721401 ILK720908:ILL721401 IVG720908:IVH721401 JFC720908:JFD721401 JOY720908:JOZ721401 JYU720908:JYV721401 KIQ720908:KIR721401 KSM720908:KSN721401 LCI720908:LCJ721401 LME720908:LMF721401 LWA720908:LWB721401 MFW720908:MFX721401 MPS720908:MPT721401 MZO720908:MZP721401 NJK720908:NJL721401 NTG720908:NTH721401 ODC720908:ODD721401 OMY720908:OMZ721401 OWU720908:OWV721401 PGQ720908:PGR721401 PQM720908:PQN721401 QAI720908:QAJ721401 QKE720908:QKF721401 QUA720908:QUB721401 RDW720908:RDX721401 RNS720908:RNT721401 RXO720908:RXP721401 SHK720908:SHL721401 SRG720908:SRH721401 TBC720908:TBD721401 TKY720908:TKZ721401 TUU720908:TUV721401 UEQ720908:UER721401 UOM720908:UON721401 UYI720908:UYJ721401 VIE720908:VIF721401 VSA720908:VSB721401 WBW720908:WBX721401 WLS720908:WLT721401 WVO720908:WVP721401 G786444:H786937 JC786444:JD786937 SY786444:SZ786937 ACU786444:ACV786937 AMQ786444:AMR786937 AWM786444:AWN786937 BGI786444:BGJ786937 BQE786444:BQF786937 CAA786444:CAB786937 CJW786444:CJX786937 CTS786444:CTT786937 DDO786444:DDP786937 DNK786444:DNL786937 DXG786444:DXH786937 EHC786444:EHD786937 EQY786444:EQZ786937 FAU786444:FAV786937 FKQ786444:FKR786937 FUM786444:FUN786937 GEI786444:GEJ786937 GOE786444:GOF786937 GYA786444:GYB786937 HHW786444:HHX786937 HRS786444:HRT786937 IBO786444:IBP786937 ILK786444:ILL786937 IVG786444:IVH786937 JFC786444:JFD786937 JOY786444:JOZ786937 JYU786444:JYV786937 KIQ786444:KIR786937 KSM786444:KSN786937 LCI786444:LCJ786937 LME786444:LMF786937 LWA786444:LWB786937 MFW786444:MFX786937 MPS786444:MPT786937 MZO786444:MZP786937 NJK786444:NJL786937 NTG786444:NTH786937 ODC786444:ODD786937 OMY786444:OMZ786937 OWU786444:OWV786937 PGQ786444:PGR786937 PQM786444:PQN786937 QAI786444:QAJ786937 QKE786444:QKF786937 QUA786444:QUB786937 RDW786444:RDX786937 RNS786444:RNT786937 RXO786444:RXP786937 SHK786444:SHL786937 SRG786444:SRH786937 TBC786444:TBD786937 TKY786444:TKZ786937 TUU786444:TUV786937 UEQ786444:UER786937 UOM786444:UON786937 UYI786444:UYJ786937 VIE786444:VIF786937 VSA786444:VSB786937 WBW786444:WBX786937 WLS786444:WLT786937 WVO786444:WVP786937 G851980:H852473 JC851980:JD852473 SY851980:SZ852473 ACU851980:ACV852473 AMQ851980:AMR852473 AWM851980:AWN852473 BGI851980:BGJ852473 BQE851980:BQF852473 CAA851980:CAB852473 CJW851980:CJX852473 CTS851980:CTT852473 DDO851980:DDP852473 DNK851980:DNL852473 DXG851980:DXH852473 EHC851980:EHD852473 EQY851980:EQZ852473 FAU851980:FAV852473 FKQ851980:FKR852473 FUM851980:FUN852473 GEI851980:GEJ852473 GOE851980:GOF852473 GYA851980:GYB852473 HHW851980:HHX852473 HRS851980:HRT852473 IBO851980:IBP852473 ILK851980:ILL852473 IVG851980:IVH852473 JFC851980:JFD852473 JOY851980:JOZ852473 JYU851980:JYV852473 KIQ851980:KIR852473 KSM851980:KSN852473 LCI851980:LCJ852473 LME851980:LMF852473 LWA851980:LWB852473 MFW851980:MFX852473 MPS851980:MPT852473 MZO851980:MZP852473 NJK851980:NJL852473 NTG851980:NTH852473 ODC851980:ODD852473 OMY851980:OMZ852473 OWU851980:OWV852473 PGQ851980:PGR852473 PQM851980:PQN852473 QAI851980:QAJ852473 QKE851980:QKF852473 QUA851980:QUB852473 RDW851980:RDX852473 RNS851980:RNT852473 RXO851980:RXP852473 SHK851980:SHL852473 SRG851980:SRH852473 TBC851980:TBD852473 TKY851980:TKZ852473 TUU851980:TUV852473 UEQ851980:UER852473 UOM851980:UON852473 UYI851980:UYJ852473 VIE851980:VIF852473 VSA851980:VSB852473 WBW851980:WBX852473 WLS851980:WLT852473 WVO851980:WVP852473 G917516:H918009 JC917516:JD918009 SY917516:SZ918009 ACU917516:ACV918009 AMQ917516:AMR918009 AWM917516:AWN918009 BGI917516:BGJ918009 BQE917516:BQF918009 CAA917516:CAB918009 CJW917516:CJX918009 CTS917516:CTT918009 DDO917516:DDP918009 DNK917516:DNL918009 DXG917516:DXH918009 EHC917516:EHD918009 EQY917516:EQZ918009 FAU917516:FAV918009 FKQ917516:FKR918009 FUM917516:FUN918009 GEI917516:GEJ918009 GOE917516:GOF918009 GYA917516:GYB918009 HHW917516:HHX918009 HRS917516:HRT918009 IBO917516:IBP918009 ILK917516:ILL918009 IVG917516:IVH918009 JFC917516:JFD918009 JOY917516:JOZ918009 JYU917516:JYV918009 KIQ917516:KIR918009 KSM917516:KSN918009 LCI917516:LCJ918009 LME917516:LMF918009 LWA917516:LWB918009 MFW917516:MFX918009 MPS917516:MPT918009 MZO917516:MZP918009 NJK917516:NJL918009 NTG917516:NTH918009 ODC917516:ODD918009 OMY917516:OMZ918009 OWU917516:OWV918009 PGQ917516:PGR918009 PQM917516:PQN918009 QAI917516:QAJ918009 QKE917516:QKF918009 QUA917516:QUB918009 RDW917516:RDX918009 RNS917516:RNT918009 RXO917516:RXP918009 SHK917516:SHL918009 SRG917516:SRH918009 TBC917516:TBD918009 TKY917516:TKZ918009 TUU917516:TUV918009 UEQ917516:UER918009 UOM917516:UON918009 UYI917516:UYJ918009 VIE917516:VIF918009 VSA917516:VSB918009 WBW917516:WBX918009 WLS917516:WLT918009 WVO917516:WVP918009 G983052:H983545 JC983052:JD983545 SY983052:SZ983545 ACU983052:ACV983545 AMQ983052:AMR983545 AWM983052:AWN983545 BGI983052:BGJ983545 BQE983052:BQF983545 CAA983052:CAB983545 CJW983052:CJX983545 CTS983052:CTT983545 DDO983052:DDP983545 DNK983052:DNL983545 DXG983052:DXH983545 EHC983052:EHD983545 EQY983052:EQZ983545 FAU983052:FAV983545 FKQ983052:FKR983545 FUM983052:FUN983545 GEI983052:GEJ983545 GOE983052:GOF983545 GYA983052:GYB983545 HHW983052:HHX983545 HRS983052:HRT983545 IBO983052:IBP983545 ILK983052:ILL983545 IVG983052:IVH983545 JFC983052:JFD983545 JOY983052:JOZ983545 JYU983052:JYV983545 KIQ983052:KIR983545 KSM983052:KSN983545 LCI983052:LCJ983545 LME983052:LMF983545 LWA983052:LWB983545 MFW983052:MFX983545 MPS983052:MPT983545 MZO983052:MZP983545 NJK983052:NJL983545 NTG983052:NTH983545 ODC983052:ODD983545 OMY983052:OMZ983545 OWU983052:OWV983545 PGQ983052:PGR983545 PQM983052:PQN983545 QAI983052:QAJ983545 QKE983052:QKF983545 QUA983052:QUB983545 RDW983052:RDX983545 RNS983052:RNT983545 RXO983052:RXP983545 SHK983052:SHL983545 SRG983052:SRH983545 TBC983052:TBD983545 TKY983052:TKZ983545 TUU983052:TUV983545 UEQ983052:UER983545 UOM983052:UON983545 UYI983052:UYJ983545 VIE983052:VIF983545 VSA983052:VSB983545 WBW983052:WBX983545 WLS983052:WLT983545 G11:H505 JC12:JD505 SY12:SZ505 ACU12:ACV505 AMQ12:AMR505 AWM12:AWN505 BGI12:BGJ505 BQE12:BQF505 CAA12:CAB505 CJW12:CJX505 CTS12:CTT505 DDO12:DDP505 DNK12:DNL505 DXG12:DXH505 EHC12:EHD505 EQY12:EQZ505 FAU12:FAV505 FKQ12:FKR505 FUM12:FUN505 GEI12:GEJ505 GOE12:GOF505 GYA12:GYB505 HHW12:HHX505 HRS12:HRT505 IBO12:IBP505 ILK12:ILL505 IVG12:IVH505 JFC12:JFD505 JOY12:JOZ505 JYU12:JYV505 KIQ12:KIR505 KSM12:KSN505 LCI12:LCJ505 LME12:LMF505 LWA12:LWB505 MFW12:MFX505 MPS12:MPT505 MZO12:MZP505 NJK12:NJL505 NTG12:NTH505 ODC12:ODD505 OMY12:OMZ505 OWU12:OWV505 PGQ12:PGR505 PQM12:PQN505 QAI12:QAJ505 QKE12:QKF505 QUA12:QUB505 RDW12:RDX505 RNS12:RNT505 RXO12:RXP505 SHK12:SHL505 SRG12:SRH505 TBC12:TBD505 TKY12:TKZ505 TUU12:TUV505 UEQ12:UER505 UOM12:UON505 UYI12:UYJ505 VIE12:VIF505 VSA12:VSB505 WBW12:WBX505 WLS12:WLT505 WVO12:WVP505" xr:uid="{227FE796-0766-419A-BFC3-FD65964FBD79}">
      <formula1>0</formula1>
      <formula2>99999999999</formula2>
    </dataValidation>
    <dataValidation type="date" allowBlank="1" showInputMessage="1" showErrorMessage="1" errorTitle="A Date must be Selected" promptTitle="Select a Date" sqref="WVK983052:WVL983545 C65548:D66041 IY65548:IZ66041 SU65548:SV66041 ACQ65548:ACR66041 AMM65548:AMN66041 AWI65548:AWJ66041 BGE65548:BGF66041 BQA65548:BQB66041 BZW65548:BZX66041 CJS65548:CJT66041 CTO65548:CTP66041 DDK65548:DDL66041 DNG65548:DNH66041 DXC65548:DXD66041 EGY65548:EGZ66041 EQU65548:EQV66041 FAQ65548:FAR66041 FKM65548:FKN66041 FUI65548:FUJ66041 GEE65548:GEF66041 GOA65548:GOB66041 GXW65548:GXX66041 HHS65548:HHT66041 HRO65548:HRP66041 IBK65548:IBL66041 ILG65548:ILH66041 IVC65548:IVD66041 JEY65548:JEZ66041 JOU65548:JOV66041 JYQ65548:JYR66041 KIM65548:KIN66041 KSI65548:KSJ66041 LCE65548:LCF66041 LMA65548:LMB66041 LVW65548:LVX66041 MFS65548:MFT66041 MPO65548:MPP66041 MZK65548:MZL66041 NJG65548:NJH66041 NTC65548:NTD66041 OCY65548:OCZ66041 OMU65548:OMV66041 OWQ65548:OWR66041 PGM65548:PGN66041 PQI65548:PQJ66041 QAE65548:QAF66041 QKA65548:QKB66041 QTW65548:QTX66041 RDS65548:RDT66041 RNO65548:RNP66041 RXK65548:RXL66041 SHG65548:SHH66041 SRC65548:SRD66041 TAY65548:TAZ66041 TKU65548:TKV66041 TUQ65548:TUR66041 UEM65548:UEN66041 UOI65548:UOJ66041 UYE65548:UYF66041 VIA65548:VIB66041 VRW65548:VRX66041 WBS65548:WBT66041 WLO65548:WLP66041 WVK65548:WVL66041 C131084:D131577 IY131084:IZ131577 SU131084:SV131577 ACQ131084:ACR131577 AMM131084:AMN131577 AWI131084:AWJ131577 BGE131084:BGF131577 BQA131084:BQB131577 BZW131084:BZX131577 CJS131084:CJT131577 CTO131084:CTP131577 DDK131084:DDL131577 DNG131084:DNH131577 DXC131084:DXD131577 EGY131084:EGZ131577 EQU131084:EQV131577 FAQ131084:FAR131577 FKM131084:FKN131577 FUI131084:FUJ131577 GEE131084:GEF131577 GOA131084:GOB131577 GXW131084:GXX131577 HHS131084:HHT131577 HRO131084:HRP131577 IBK131084:IBL131577 ILG131084:ILH131577 IVC131084:IVD131577 JEY131084:JEZ131577 JOU131084:JOV131577 JYQ131084:JYR131577 KIM131084:KIN131577 KSI131084:KSJ131577 LCE131084:LCF131577 LMA131084:LMB131577 LVW131084:LVX131577 MFS131084:MFT131577 MPO131084:MPP131577 MZK131084:MZL131577 NJG131084:NJH131577 NTC131084:NTD131577 OCY131084:OCZ131577 OMU131084:OMV131577 OWQ131084:OWR131577 PGM131084:PGN131577 PQI131084:PQJ131577 QAE131084:QAF131577 QKA131084:QKB131577 QTW131084:QTX131577 RDS131084:RDT131577 RNO131084:RNP131577 RXK131084:RXL131577 SHG131084:SHH131577 SRC131084:SRD131577 TAY131084:TAZ131577 TKU131084:TKV131577 TUQ131084:TUR131577 UEM131084:UEN131577 UOI131084:UOJ131577 UYE131084:UYF131577 VIA131084:VIB131577 VRW131084:VRX131577 WBS131084:WBT131577 WLO131084:WLP131577 WVK131084:WVL131577 C196620:D197113 IY196620:IZ197113 SU196620:SV197113 ACQ196620:ACR197113 AMM196620:AMN197113 AWI196620:AWJ197113 BGE196620:BGF197113 BQA196620:BQB197113 BZW196620:BZX197113 CJS196620:CJT197113 CTO196620:CTP197113 DDK196620:DDL197113 DNG196620:DNH197113 DXC196620:DXD197113 EGY196620:EGZ197113 EQU196620:EQV197113 FAQ196620:FAR197113 FKM196620:FKN197113 FUI196620:FUJ197113 GEE196620:GEF197113 GOA196620:GOB197113 GXW196620:GXX197113 HHS196620:HHT197113 HRO196620:HRP197113 IBK196620:IBL197113 ILG196620:ILH197113 IVC196620:IVD197113 JEY196620:JEZ197113 JOU196620:JOV197113 JYQ196620:JYR197113 KIM196620:KIN197113 KSI196620:KSJ197113 LCE196620:LCF197113 LMA196620:LMB197113 LVW196620:LVX197113 MFS196620:MFT197113 MPO196620:MPP197113 MZK196620:MZL197113 NJG196620:NJH197113 NTC196620:NTD197113 OCY196620:OCZ197113 OMU196620:OMV197113 OWQ196620:OWR197113 PGM196620:PGN197113 PQI196620:PQJ197113 QAE196620:QAF197113 QKA196620:QKB197113 QTW196620:QTX197113 RDS196620:RDT197113 RNO196620:RNP197113 RXK196620:RXL197113 SHG196620:SHH197113 SRC196620:SRD197113 TAY196620:TAZ197113 TKU196620:TKV197113 TUQ196620:TUR197113 UEM196620:UEN197113 UOI196620:UOJ197113 UYE196620:UYF197113 VIA196620:VIB197113 VRW196620:VRX197113 WBS196620:WBT197113 WLO196620:WLP197113 WVK196620:WVL197113 C262156:D262649 IY262156:IZ262649 SU262156:SV262649 ACQ262156:ACR262649 AMM262156:AMN262649 AWI262156:AWJ262649 BGE262156:BGF262649 BQA262156:BQB262649 BZW262156:BZX262649 CJS262156:CJT262649 CTO262156:CTP262649 DDK262156:DDL262649 DNG262156:DNH262649 DXC262156:DXD262649 EGY262156:EGZ262649 EQU262156:EQV262649 FAQ262156:FAR262649 FKM262156:FKN262649 FUI262156:FUJ262649 GEE262156:GEF262649 GOA262156:GOB262649 GXW262156:GXX262649 HHS262156:HHT262649 HRO262156:HRP262649 IBK262156:IBL262649 ILG262156:ILH262649 IVC262156:IVD262649 JEY262156:JEZ262649 JOU262156:JOV262649 JYQ262156:JYR262649 KIM262156:KIN262649 KSI262156:KSJ262649 LCE262156:LCF262649 LMA262156:LMB262649 LVW262156:LVX262649 MFS262156:MFT262649 MPO262156:MPP262649 MZK262156:MZL262649 NJG262156:NJH262649 NTC262156:NTD262649 OCY262156:OCZ262649 OMU262156:OMV262649 OWQ262156:OWR262649 PGM262156:PGN262649 PQI262156:PQJ262649 QAE262156:QAF262649 QKA262156:QKB262649 QTW262156:QTX262649 RDS262156:RDT262649 RNO262156:RNP262649 RXK262156:RXL262649 SHG262156:SHH262649 SRC262156:SRD262649 TAY262156:TAZ262649 TKU262156:TKV262649 TUQ262156:TUR262649 UEM262156:UEN262649 UOI262156:UOJ262649 UYE262156:UYF262649 VIA262156:VIB262649 VRW262156:VRX262649 WBS262156:WBT262649 WLO262156:WLP262649 WVK262156:WVL262649 C327692:D328185 IY327692:IZ328185 SU327692:SV328185 ACQ327692:ACR328185 AMM327692:AMN328185 AWI327692:AWJ328185 BGE327692:BGF328185 BQA327692:BQB328185 BZW327692:BZX328185 CJS327692:CJT328185 CTO327692:CTP328185 DDK327692:DDL328185 DNG327692:DNH328185 DXC327692:DXD328185 EGY327692:EGZ328185 EQU327692:EQV328185 FAQ327692:FAR328185 FKM327692:FKN328185 FUI327692:FUJ328185 GEE327692:GEF328185 GOA327692:GOB328185 GXW327692:GXX328185 HHS327692:HHT328185 HRO327692:HRP328185 IBK327692:IBL328185 ILG327692:ILH328185 IVC327692:IVD328185 JEY327692:JEZ328185 JOU327692:JOV328185 JYQ327692:JYR328185 KIM327692:KIN328185 KSI327692:KSJ328185 LCE327692:LCF328185 LMA327692:LMB328185 LVW327692:LVX328185 MFS327692:MFT328185 MPO327692:MPP328185 MZK327692:MZL328185 NJG327692:NJH328185 NTC327692:NTD328185 OCY327692:OCZ328185 OMU327692:OMV328185 OWQ327692:OWR328185 PGM327692:PGN328185 PQI327692:PQJ328185 QAE327692:QAF328185 QKA327692:QKB328185 QTW327692:QTX328185 RDS327692:RDT328185 RNO327692:RNP328185 RXK327692:RXL328185 SHG327692:SHH328185 SRC327692:SRD328185 TAY327692:TAZ328185 TKU327692:TKV328185 TUQ327692:TUR328185 UEM327692:UEN328185 UOI327692:UOJ328185 UYE327692:UYF328185 VIA327692:VIB328185 VRW327692:VRX328185 WBS327692:WBT328185 WLO327692:WLP328185 WVK327692:WVL328185 C393228:D393721 IY393228:IZ393721 SU393228:SV393721 ACQ393228:ACR393721 AMM393228:AMN393721 AWI393228:AWJ393721 BGE393228:BGF393721 BQA393228:BQB393721 BZW393228:BZX393721 CJS393228:CJT393721 CTO393228:CTP393721 DDK393228:DDL393721 DNG393228:DNH393721 DXC393228:DXD393721 EGY393228:EGZ393721 EQU393228:EQV393721 FAQ393228:FAR393721 FKM393228:FKN393721 FUI393228:FUJ393721 GEE393228:GEF393721 GOA393228:GOB393721 GXW393228:GXX393721 HHS393228:HHT393721 HRO393228:HRP393721 IBK393228:IBL393721 ILG393228:ILH393721 IVC393228:IVD393721 JEY393228:JEZ393721 JOU393228:JOV393721 JYQ393228:JYR393721 KIM393228:KIN393721 KSI393228:KSJ393721 LCE393228:LCF393721 LMA393228:LMB393721 LVW393228:LVX393721 MFS393228:MFT393721 MPO393228:MPP393721 MZK393228:MZL393721 NJG393228:NJH393721 NTC393228:NTD393721 OCY393228:OCZ393721 OMU393228:OMV393721 OWQ393228:OWR393721 PGM393228:PGN393721 PQI393228:PQJ393721 QAE393228:QAF393721 QKA393228:QKB393721 QTW393228:QTX393721 RDS393228:RDT393721 RNO393228:RNP393721 RXK393228:RXL393721 SHG393228:SHH393721 SRC393228:SRD393721 TAY393228:TAZ393721 TKU393228:TKV393721 TUQ393228:TUR393721 UEM393228:UEN393721 UOI393228:UOJ393721 UYE393228:UYF393721 VIA393228:VIB393721 VRW393228:VRX393721 WBS393228:WBT393721 WLO393228:WLP393721 WVK393228:WVL393721 C458764:D459257 IY458764:IZ459257 SU458764:SV459257 ACQ458764:ACR459257 AMM458764:AMN459257 AWI458764:AWJ459257 BGE458764:BGF459257 BQA458764:BQB459257 BZW458764:BZX459257 CJS458764:CJT459257 CTO458764:CTP459257 DDK458764:DDL459257 DNG458764:DNH459257 DXC458764:DXD459257 EGY458764:EGZ459257 EQU458764:EQV459257 FAQ458764:FAR459257 FKM458764:FKN459257 FUI458764:FUJ459257 GEE458764:GEF459257 GOA458764:GOB459257 GXW458764:GXX459257 HHS458764:HHT459257 HRO458764:HRP459257 IBK458764:IBL459257 ILG458764:ILH459257 IVC458764:IVD459257 JEY458764:JEZ459257 JOU458764:JOV459257 JYQ458764:JYR459257 KIM458764:KIN459257 KSI458764:KSJ459257 LCE458764:LCF459257 LMA458764:LMB459257 LVW458764:LVX459257 MFS458764:MFT459257 MPO458764:MPP459257 MZK458764:MZL459257 NJG458764:NJH459257 NTC458764:NTD459257 OCY458764:OCZ459257 OMU458764:OMV459257 OWQ458764:OWR459257 PGM458764:PGN459257 PQI458764:PQJ459257 QAE458764:QAF459257 QKA458764:QKB459257 QTW458764:QTX459257 RDS458764:RDT459257 RNO458764:RNP459257 RXK458764:RXL459257 SHG458764:SHH459257 SRC458764:SRD459257 TAY458764:TAZ459257 TKU458764:TKV459257 TUQ458764:TUR459257 UEM458764:UEN459257 UOI458764:UOJ459257 UYE458764:UYF459257 VIA458764:VIB459257 VRW458764:VRX459257 WBS458764:WBT459257 WLO458764:WLP459257 WVK458764:WVL459257 C524300:D524793 IY524300:IZ524793 SU524300:SV524793 ACQ524300:ACR524793 AMM524300:AMN524793 AWI524300:AWJ524793 BGE524300:BGF524793 BQA524300:BQB524793 BZW524300:BZX524793 CJS524300:CJT524793 CTO524300:CTP524793 DDK524300:DDL524793 DNG524300:DNH524793 DXC524300:DXD524793 EGY524300:EGZ524793 EQU524300:EQV524793 FAQ524300:FAR524793 FKM524300:FKN524793 FUI524300:FUJ524793 GEE524300:GEF524793 GOA524300:GOB524793 GXW524300:GXX524793 HHS524300:HHT524793 HRO524300:HRP524793 IBK524300:IBL524793 ILG524300:ILH524793 IVC524300:IVD524793 JEY524300:JEZ524793 JOU524300:JOV524793 JYQ524300:JYR524793 KIM524300:KIN524793 KSI524300:KSJ524793 LCE524300:LCF524793 LMA524300:LMB524793 LVW524300:LVX524793 MFS524300:MFT524793 MPO524300:MPP524793 MZK524300:MZL524793 NJG524300:NJH524793 NTC524300:NTD524793 OCY524300:OCZ524793 OMU524300:OMV524793 OWQ524300:OWR524793 PGM524300:PGN524793 PQI524300:PQJ524793 QAE524300:QAF524793 QKA524300:QKB524793 QTW524300:QTX524793 RDS524300:RDT524793 RNO524300:RNP524793 RXK524300:RXL524793 SHG524300:SHH524793 SRC524300:SRD524793 TAY524300:TAZ524793 TKU524300:TKV524793 TUQ524300:TUR524793 UEM524300:UEN524793 UOI524300:UOJ524793 UYE524300:UYF524793 VIA524300:VIB524793 VRW524300:VRX524793 WBS524300:WBT524793 WLO524300:WLP524793 WVK524300:WVL524793 C589836:D590329 IY589836:IZ590329 SU589836:SV590329 ACQ589836:ACR590329 AMM589836:AMN590329 AWI589836:AWJ590329 BGE589836:BGF590329 BQA589836:BQB590329 BZW589836:BZX590329 CJS589836:CJT590329 CTO589836:CTP590329 DDK589836:DDL590329 DNG589836:DNH590329 DXC589836:DXD590329 EGY589836:EGZ590329 EQU589836:EQV590329 FAQ589836:FAR590329 FKM589836:FKN590329 FUI589836:FUJ590329 GEE589836:GEF590329 GOA589836:GOB590329 GXW589836:GXX590329 HHS589836:HHT590329 HRO589836:HRP590329 IBK589836:IBL590329 ILG589836:ILH590329 IVC589836:IVD590329 JEY589836:JEZ590329 JOU589836:JOV590329 JYQ589836:JYR590329 KIM589836:KIN590329 KSI589836:KSJ590329 LCE589836:LCF590329 LMA589836:LMB590329 LVW589836:LVX590329 MFS589836:MFT590329 MPO589836:MPP590329 MZK589836:MZL590329 NJG589836:NJH590329 NTC589836:NTD590329 OCY589836:OCZ590329 OMU589836:OMV590329 OWQ589836:OWR590329 PGM589836:PGN590329 PQI589836:PQJ590329 QAE589836:QAF590329 QKA589836:QKB590329 QTW589836:QTX590329 RDS589836:RDT590329 RNO589836:RNP590329 RXK589836:RXL590329 SHG589836:SHH590329 SRC589836:SRD590329 TAY589836:TAZ590329 TKU589836:TKV590329 TUQ589836:TUR590329 UEM589836:UEN590329 UOI589836:UOJ590329 UYE589836:UYF590329 VIA589836:VIB590329 VRW589836:VRX590329 WBS589836:WBT590329 WLO589836:WLP590329 WVK589836:WVL590329 C655372:D655865 IY655372:IZ655865 SU655372:SV655865 ACQ655372:ACR655865 AMM655372:AMN655865 AWI655372:AWJ655865 BGE655372:BGF655865 BQA655372:BQB655865 BZW655372:BZX655865 CJS655372:CJT655865 CTO655372:CTP655865 DDK655372:DDL655865 DNG655372:DNH655865 DXC655372:DXD655865 EGY655372:EGZ655865 EQU655372:EQV655865 FAQ655372:FAR655865 FKM655372:FKN655865 FUI655372:FUJ655865 GEE655372:GEF655865 GOA655372:GOB655865 GXW655372:GXX655865 HHS655372:HHT655865 HRO655372:HRP655865 IBK655372:IBL655865 ILG655372:ILH655865 IVC655372:IVD655865 JEY655372:JEZ655865 JOU655372:JOV655865 JYQ655372:JYR655865 KIM655372:KIN655865 KSI655372:KSJ655865 LCE655372:LCF655865 LMA655372:LMB655865 LVW655372:LVX655865 MFS655372:MFT655865 MPO655372:MPP655865 MZK655372:MZL655865 NJG655372:NJH655865 NTC655372:NTD655865 OCY655372:OCZ655865 OMU655372:OMV655865 OWQ655372:OWR655865 PGM655372:PGN655865 PQI655372:PQJ655865 QAE655372:QAF655865 QKA655372:QKB655865 QTW655372:QTX655865 RDS655372:RDT655865 RNO655372:RNP655865 RXK655372:RXL655865 SHG655372:SHH655865 SRC655372:SRD655865 TAY655372:TAZ655865 TKU655372:TKV655865 TUQ655372:TUR655865 UEM655372:UEN655865 UOI655372:UOJ655865 UYE655372:UYF655865 VIA655372:VIB655865 VRW655372:VRX655865 WBS655372:WBT655865 WLO655372:WLP655865 WVK655372:WVL655865 C720908:D721401 IY720908:IZ721401 SU720908:SV721401 ACQ720908:ACR721401 AMM720908:AMN721401 AWI720908:AWJ721401 BGE720908:BGF721401 BQA720908:BQB721401 BZW720908:BZX721401 CJS720908:CJT721401 CTO720908:CTP721401 DDK720908:DDL721401 DNG720908:DNH721401 DXC720908:DXD721401 EGY720908:EGZ721401 EQU720908:EQV721401 FAQ720908:FAR721401 FKM720908:FKN721401 FUI720908:FUJ721401 GEE720908:GEF721401 GOA720908:GOB721401 GXW720908:GXX721401 HHS720908:HHT721401 HRO720908:HRP721401 IBK720908:IBL721401 ILG720908:ILH721401 IVC720908:IVD721401 JEY720908:JEZ721401 JOU720908:JOV721401 JYQ720908:JYR721401 KIM720908:KIN721401 KSI720908:KSJ721401 LCE720908:LCF721401 LMA720908:LMB721401 LVW720908:LVX721401 MFS720908:MFT721401 MPO720908:MPP721401 MZK720908:MZL721401 NJG720908:NJH721401 NTC720908:NTD721401 OCY720908:OCZ721401 OMU720908:OMV721401 OWQ720908:OWR721401 PGM720908:PGN721401 PQI720908:PQJ721401 QAE720908:QAF721401 QKA720908:QKB721401 QTW720908:QTX721401 RDS720908:RDT721401 RNO720908:RNP721401 RXK720908:RXL721401 SHG720908:SHH721401 SRC720908:SRD721401 TAY720908:TAZ721401 TKU720908:TKV721401 TUQ720908:TUR721401 UEM720908:UEN721401 UOI720908:UOJ721401 UYE720908:UYF721401 VIA720908:VIB721401 VRW720908:VRX721401 WBS720908:WBT721401 WLO720908:WLP721401 WVK720908:WVL721401 C786444:D786937 IY786444:IZ786937 SU786444:SV786937 ACQ786444:ACR786937 AMM786444:AMN786937 AWI786444:AWJ786937 BGE786444:BGF786937 BQA786444:BQB786937 BZW786444:BZX786937 CJS786444:CJT786937 CTO786444:CTP786937 DDK786444:DDL786937 DNG786444:DNH786937 DXC786444:DXD786937 EGY786444:EGZ786937 EQU786444:EQV786937 FAQ786444:FAR786937 FKM786444:FKN786937 FUI786444:FUJ786937 GEE786444:GEF786937 GOA786444:GOB786937 GXW786444:GXX786937 HHS786444:HHT786937 HRO786444:HRP786937 IBK786444:IBL786937 ILG786444:ILH786937 IVC786444:IVD786937 JEY786444:JEZ786937 JOU786444:JOV786937 JYQ786444:JYR786937 KIM786444:KIN786937 KSI786444:KSJ786937 LCE786444:LCF786937 LMA786444:LMB786937 LVW786444:LVX786937 MFS786444:MFT786937 MPO786444:MPP786937 MZK786444:MZL786937 NJG786444:NJH786937 NTC786444:NTD786937 OCY786444:OCZ786937 OMU786444:OMV786937 OWQ786444:OWR786937 PGM786444:PGN786937 PQI786444:PQJ786937 QAE786444:QAF786937 QKA786444:QKB786937 QTW786444:QTX786937 RDS786444:RDT786937 RNO786444:RNP786937 RXK786444:RXL786937 SHG786444:SHH786937 SRC786444:SRD786937 TAY786444:TAZ786937 TKU786444:TKV786937 TUQ786444:TUR786937 UEM786444:UEN786937 UOI786444:UOJ786937 UYE786444:UYF786937 VIA786444:VIB786937 VRW786444:VRX786937 WBS786444:WBT786937 WLO786444:WLP786937 WVK786444:WVL786937 C851980:D852473 IY851980:IZ852473 SU851980:SV852473 ACQ851980:ACR852473 AMM851980:AMN852473 AWI851980:AWJ852473 BGE851980:BGF852473 BQA851980:BQB852473 BZW851980:BZX852473 CJS851980:CJT852473 CTO851980:CTP852473 DDK851980:DDL852473 DNG851980:DNH852473 DXC851980:DXD852473 EGY851980:EGZ852473 EQU851980:EQV852473 FAQ851980:FAR852473 FKM851980:FKN852473 FUI851980:FUJ852473 GEE851980:GEF852473 GOA851980:GOB852473 GXW851980:GXX852473 HHS851980:HHT852473 HRO851980:HRP852473 IBK851980:IBL852473 ILG851980:ILH852473 IVC851980:IVD852473 JEY851980:JEZ852473 JOU851980:JOV852473 JYQ851980:JYR852473 KIM851980:KIN852473 KSI851980:KSJ852473 LCE851980:LCF852473 LMA851980:LMB852473 LVW851980:LVX852473 MFS851980:MFT852473 MPO851980:MPP852473 MZK851980:MZL852473 NJG851980:NJH852473 NTC851980:NTD852473 OCY851980:OCZ852473 OMU851980:OMV852473 OWQ851980:OWR852473 PGM851980:PGN852473 PQI851980:PQJ852473 QAE851980:QAF852473 QKA851980:QKB852473 QTW851980:QTX852473 RDS851980:RDT852473 RNO851980:RNP852473 RXK851980:RXL852473 SHG851980:SHH852473 SRC851980:SRD852473 TAY851980:TAZ852473 TKU851980:TKV852473 TUQ851980:TUR852473 UEM851980:UEN852473 UOI851980:UOJ852473 UYE851980:UYF852473 VIA851980:VIB852473 VRW851980:VRX852473 WBS851980:WBT852473 WLO851980:WLP852473 WVK851980:WVL852473 C917516:D918009 IY917516:IZ918009 SU917516:SV918009 ACQ917516:ACR918009 AMM917516:AMN918009 AWI917516:AWJ918009 BGE917516:BGF918009 BQA917516:BQB918009 BZW917516:BZX918009 CJS917516:CJT918009 CTO917516:CTP918009 DDK917516:DDL918009 DNG917516:DNH918009 DXC917516:DXD918009 EGY917516:EGZ918009 EQU917516:EQV918009 FAQ917516:FAR918009 FKM917516:FKN918009 FUI917516:FUJ918009 GEE917516:GEF918009 GOA917516:GOB918009 GXW917516:GXX918009 HHS917516:HHT918009 HRO917516:HRP918009 IBK917516:IBL918009 ILG917516:ILH918009 IVC917516:IVD918009 JEY917516:JEZ918009 JOU917516:JOV918009 JYQ917516:JYR918009 KIM917516:KIN918009 KSI917516:KSJ918009 LCE917516:LCF918009 LMA917516:LMB918009 LVW917516:LVX918009 MFS917516:MFT918009 MPO917516:MPP918009 MZK917516:MZL918009 NJG917516:NJH918009 NTC917516:NTD918009 OCY917516:OCZ918009 OMU917516:OMV918009 OWQ917516:OWR918009 PGM917516:PGN918009 PQI917516:PQJ918009 QAE917516:QAF918009 QKA917516:QKB918009 QTW917516:QTX918009 RDS917516:RDT918009 RNO917516:RNP918009 RXK917516:RXL918009 SHG917516:SHH918009 SRC917516:SRD918009 TAY917516:TAZ918009 TKU917516:TKV918009 TUQ917516:TUR918009 UEM917516:UEN918009 UOI917516:UOJ918009 UYE917516:UYF918009 VIA917516:VIB918009 VRW917516:VRX918009 WBS917516:WBT918009 WLO917516:WLP918009 WVK917516:WVL918009 C983052:D983545 IY983052:IZ983545 SU983052:SV983545 ACQ983052:ACR983545 AMM983052:AMN983545 AWI983052:AWJ983545 BGE983052:BGF983545 BQA983052:BQB983545 BZW983052:BZX983545 CJS983052:CJT983545 CTO983052:CTP983545 DDK983052:DDL983545 DNG983052:DNH983545 DXC983052:DXD983545 EGY983052:EGZ983545 EQU983052:EQV983545 FAQ983052:FAR983545 FKM983052:FKN983545 FUI983052:FUJ983545 GEE983052:GEF983545 GOA983052:GOB983545 GXW983052:GXX983545 HHS983052:HHT983545 HRO983052:HRP983545 IBK983052:IBL983545 ILG983052:ILH983545 IVC983052:IVD983545 JEY983052:JEZ983545 JOU983052:JOV983545 JYQ983052:JYR983545 KIM983052:KIN983545 KSI983052:KSJ983545 LCE983052:LCF983545 LMA983052:LMB983545 LVW983052:LVX983545 MFS983052:MFT983545 MPO983052:MPP983545 MZK983052:MZL983545 NJG983052:NJH983545 NTC983052:NTD983545 OCY983052:OCZ983545 OMU983052:OMV983545 OWQ983052:OWR983545 PGM983052:PGN983545 PQI983052:PQJ983545 QAE983052:QAF983545 QKA983052:QKB983545 QTW983052:QTX983545 RDS983052:RDT983545 RNO983052:RNP983545 RXK983052:RXL983545 SHG983052:SHH983545 SRC983052:SRD983545 TAY983052:TAZ983545 TKU983052:TKV983545 TUQ983052:TUR983545 UEM983052:UEN983545 UOI983052:UOJ983545 UYE983052:UYF983545 VIA983052:VIB983545 VRW983052:VRX983545 WBS983052:WBT983545 WLO983052:WLP983545 C11:D505 IY12:IZ505 SU12:SV505 ACQ12:ACR505 AMM12:AMN505 AWI12:AWJ505 BGE12:BGF505 BQA12:BQB505 BZW12:BZX505 CJS12:CJT505 CTO12:CTP505 DDK12:DDL505 DNG12:DNH505 DXC12:DXD505 EGY12:EGZ505 EQU12:EQV505 FAQ12:FAR505 FKM12:FKN505 FUI12:FUJ505 GEE12:GEF505 GOA12:GOB505 GXW12:GXX505 HHS12:HHT505 HRO12:HRP505 IBK12:IBL505 ILG12:ILH505 IVC12:IVD505 JEY12:JEZ505 JOU12:JOV505 JYQ12:JYR505 KIM12:KIN505 KSI12:KSJ505 LCE12:LCF505 LMA12:LMB505 LVW12:LVX505 MFS12:MFT505 MPO12:MPP505 MZK12:MZL505 NJG12:NJH505 NTC12:NTD505 OCY12:OCZ505 OMU12:OMV505 OWQ12:OWR505 PGM12:PGN505 PQI12:PQJ505 QAE12:QAF505 QKA12:QKB505 QTW12:QTX505 RDS12:RDT505 RNO12:RNP505 RXK12:RXL505 SHG12:SHH505 SRC12:SRD505 TAY12:TAZ505 TKU12:TKV505 TUQ12:TUR505 UEM12:UEN505 UOI12:UOJ505 UYE12:UYF505 VIA12:VIB505 VRW12:VRX505 WBS12:WBT505 WLO12:WLP505 WVK12:WVL505" xr:uid="{842564C7-DB07-4001-B8B9-175AA5776353}">
      <formula1>42370</formula1>
      <formula2>73415</formula2>
    </dataValidation>
    <dataValidation type="list" allowBlank="1" showInputMessage="1" showErrorMessage="1" sqref="WVN983052:WVN983545 F65548:F66041 JB65548:JB66041 SX65548:SX66041 ACT65548:ACT66041 AMP65548:AMP66041 AWL65548:AWL66041 BGH65548:BGH66041 BQD65548:BQD66041 BZZ65548:BZZ66041 CJV65548:CJV66041 CTR65548:CTR66041 DDN65548:DDN66041 DNJ65548:DNJ66041 DXF65548:DXF66041 EHB65548:EHB66041 EQX65548:EQX66041 FAT65548:FAT66041 FKP65548:FKP66041 FUL65548:FUL66041 GEH65548:GEH66041 GOD65548:GOD66041 GXZ65548:GXZ66041 HHV65548:HHV66041 HRR65548:HRR66041 IBN65548:IBN66041 ILJ65548:ILJ66041 IVF65548:IVF66041 JFB65548:JFB66041 JOX65548:JOX66041 JYT65548:JYT66041 KIP65548:KIP66041 KSL65548:KSL66041 LCH65548:LCH66041 LMD65548:LMD66041 LVZ65548:LVZ66041 MFV65548:MFV66041 MPR65548:MPR66041 MZN65548:MZN66041 NJJ65548:NJJ66041 NTF65548:NTF66041 ODB65548:ODB66041 OMX65548:OMX66041 OWT65548:OWT66041 PGP65548:PGP66041 PQL65548:PQL66041 QAH65548:QAH66041 QKD65548:QKD66041 QTZ65548:QTZ66041 RDV65548:RDV66041 RNR65548:RNR66041 RXN65548:RXN66041 SHJ65548:SHJ66041 SRF65548:SRF66041 TBB65548:TBB66041 TKX65548:TKX66041 TUT65548:TUT66041 UEP65548:UEP66041 UOL65548:UOL66041 UYH65548:UYH66041 VID65548:VID66041 VRZ65548:VRZ66041 WBV65548:WBV66041 WLR65548:WLR66041 WVN65548:WVN66041 F131084:F131577 JB131084:JB131577 SX131084:SX131577 ACT131084:ACT131577 AMP131084:AMP131577 AWL131084:AWL131577 BGH131084:BGH131577 BQD131084:BQD131577 BZZ131084:BZZ131577 CJV131084:CJV131577 CTR131084:CTR131577 DDN131084:DDN131577 DNJ131084:DNJ131577 DXF131084:DXF131577 EHB131084:EHB131577 EQX131084:EQX131577 FAT131084:FAT131577 FKP131084:FKP131577 FUL131084:FUL131577 GEH131084:GEH131577 GOD131084:GOD131577 GXZ131084:GXZ131577 HHV131084:HHV131577 HRR131084:HRR131577 IBN131084:IBN131577 ILJ131084:ILJ131577 IVF131084:IVF131577 JFB131084:JFB131577 JOX131084:JOX131577 JYT131084:JYT131577 KIP131084:KIP131577 KSL131084:KSL131577 LCH131084:LCH131577 LMD131084:LMD131577 LVZ131084:LVZ131577 MFV131084:MFV131577 MPR131084:MPR131577 MZN131084:MZN131577 NJJ131084:NJJ131577 NTF131084:NTF131577 ODB131084:ODB131577 OMX131084:OMX131577 OWT131084:OWT131577 PGP131084:PGP131577 PQL131084:PQL131577 QAH131084:QAH131577 QKD131084:QKD131577 QTZ131084:QTZ131577 RDV131084:RDV131577 RNR131084:RNR131577 RXN131084:RXN131577 SHJ131084:SHJ131577 SRF131084:SRF131577 TBB131084:TBB131577 TKX131084:TKX131577 TUT131084:TUT131577 UEP131084:UEP131577 UOL131084:UOL131577 UYH131084:UYH131577 VID131084:VID131577 VRZ131084:VRZ131577 WBV131084:WBV131577 WLR131084:WLR131577 WVN131084:WVN131577 F196620:F197113 JB196620:JB197113 SX196620:SX197113 ACT196620:ACT197113 AMP196620:AMP197113 AWL196620:AWL197113 BGH196620:BGH197113 BQD196620:BQD197113 BZZ196620:BZZ197113 CJV196620:CJV197113 CTR196620:CTR197113 DDN196620:DDN197113 DNJ196620:DNJ197113 DXF196620:DXF197113 EHB196620:EHB197113 EQX196620:EQX197113 FAT196620:FAT197113 FKP196620:FKP197113 FUL196620:FUL197113 GEH196620:GEH197113 GOD196620:GOD197113 GXZ196620:GXZ197113 HHV196620:HHV197113 HRR196620:HRR197113 IBN196620:IBN197113 ILJ196620:ILJ197113 IVF196620:IVF197113 JFB196620:JFB197113 JOX196620:JOX197113 JYT196620:JYT197113 KIP196620:KIP197113 KSL196620:KSL197113 LCH196620:LCH197113 LMD196620:LMD197113 LVZ196620:LVZ197113 MFV196620:MFV197113 MPR196620:MPR197113 MZN196620:MZN197113 NJJ196620:NJJ197113 NTF196620:NTF197113 ODB196620:ODB197113 OMX196620:OMX197113 OWT196620:OWT197113 PGP196620:PGP197113 PQL196620:PQL197113 QAH196620:QAH197113 QKD196620:QKD197113 QTZ196620:QTZ197113 RDV196620:RDV197113 RNR196620:RNR197113 RXN196620:RXN197113 SHJ196620:SHJ197113 SRF196620:SRF197113 TBB196620:TBB197113 TKX196620:TKX197113 TUT196620:TUT197113 UEP196620:UEP197113 UOL196620:UOL197113 UYH196620:UYH197113 VID196620:VID197113 VRZ196620:VRZ197113 WBV196620:WBV197113 WLR196620:WLR197113 WVN196620:WVN197113 F262156:F262649 JB262156:JB262649 SX262156:SX262649 ACT262156:ACT262649 AMP262156:AMP262649 AWL262156:AWL262649 BGH262156:BGH262649 BQD262156:BQD262649 BZZ262156:BZZ262649 CJV262156:CJV262649 CTR262156:CTR262649 DDN262156:DDN262649 DNJ262156:DNJ262649 DXF262156:DXF262649 EHB262156:EHB262649 EQX262156:EQX262649 FAT262156:FAT262649 FKP262156:FKP262649 FUL262156:FUL262649 GEH262156:GEH262649 GOD262156:GOD262649 GXZ262156:GXZ262649 HHV262156:HHV262649 HRR262156:HRR262649 IBN262156:IBN262649 ILJ262156:ILJ262649 IVF262156:IVF262649 JFB262156:JFB262649 JOX262156:JOX262649 JYT262156:JYT262649 KIP262156:KIP262649 KSL262156:KSL262649 LCH262156:LCH262649 LMD262156:LMD262649 LVZ262156:LVZ262649 MFV262156:MFV262649 MPR262156:MPR262649 MZN262156:MZN262649 NJJ262156:NJJ262649 NTF262156:NTF262649 ODB262156:ODB262649 OMX262156:OMX262649 OWT262156:OWT262649 PGP262156:PGP262649 PQL262156:PQL262649 QAH262156:QAH262649 QKD262156:QKD262649 QTZ262156:QTZ262649 RDV262156:RDV262649 RNR262156:RNR262649 RXN262156:RXN262649 SHJ262156:SHJ262649 SRF262156:SRF262649 TBB262156:TBB262649 TKX262156:TKX262649 TUT262156:TUT262649 UEP262156:UEP262649 UOL262156:UOL262649 UYH262156:UYH262649 VID262156:VID262649 VRZ262156:VRZ262649 WBV262156:WBV262649 WLR262156:WLR262649 WVN262156:WVN262649 F327692:F328185 JB327692:JB328185 SX327692:SX328185 ACT327692:ACT328185 AMP327692:AMP328185 AWL327692:AWL328185 BGH327692:BGH328185 BQD327692:BQD328185 BZZ327692:BZZ328185 CJV327692:CJV328185 CTR327692:CTR328185 DDN327692:DDN328185 DNJ327692:DNJ328185 DXF327692:DXF328185 EHB327692:EHB328185 EQX327692:EQX328185 FAT327692:FAT328185 FKP327692:FKP328185 FUL327692:FUL328185 GEH327692:GEH328185 GOD327692:GOD328185 GXZ327692:GXZ328185 HHV327692:HHV328185 HRR327692:HRR328185 IBN327692:IBN328185 ILJ327692:ILJ328185 IVF327692:IVF328185 JFB327692:JFB328185 JOX327692:JOX328185 JYT327692:JYT328185 KIP327692:KIP328185 KSL327692:KSL328185 LCH327692:LCH328185 LMD327692:LMD328185 LVZ327692:LVZ328185 MFV327692:MFV328185 MPR327692:MPR328185 MZN327692:MZN328185 NJJ327692:NJJ328185 NTF327692:NTF328185 ODB327692:ODB328185 OMX327692:OMX328185 OWT327692:OWT328185 PGP327692:PGP328185 PQL327692:PQL328185 QAH327692:QAH328185 QKD327692:QKD328185 QTZ327692:QTZ328185 RDV327692:RDV328185 RNR327692:RNR328185 RXN327692:RXN328185 SHJ327692:SHJ328185 SRF327692:SRF328185 TBB327692:TBB328185 TKX327692:TKX328185 TUT327692:TUT328185 UEP327692:UEP328185 UOL327692:UOL328185 UYH327692:UYH328185 VID327692:VID328185 VRZ327692:VRZ328185 WBV327692:WBV328185 WLR327692:WLR328185 WVN327692:WVN328185 F393228:F393721 JB393228:JB393721 SX393228:SX393721 ACT393228:ACT393721 AMP393228:AMP393721 AWL393228:AWL393721 BGH393228:BGH393721 BQD393228:BQD393721 BZZ393228:BZZ393721 CJV393228:CJV393721 CTR393228:CTR393721 DDN393228:DDN393721 DNJ393228:DNJ393721 DXF393228:DXF393721 EHB393228:EHB393721 EQX393228:EQX393721 FAT393228:FAT393721 FKP393228:FKP393721 FUL393228:FUL393721 GEH393228:GEH393721 GOD393228:GOD393721 GXZ393228:GXZ393721 HHV393228:HHV393721 HRR393228:HRR393721 IBN393228:IBN393721 ILJ393228:ILJ393721 IVF393228:IVF393721 JFB393228:JFB393721 JOX393228:JOX393721 JYT393228:JYT393721 KIP393228:KIP393721 KSL393228:KSL393721 LCH393228:LCH393721 LMD393228:LMD393721 LVZ393228:LVZ393721 MFV393228:MFV393721 MPR393228:MPR393721 MZN393228:MZN393721 NJJ393228:NJJ393721 NTF393228:NTF393721 ODB393228:ODB393721 OMX393228:OMX393721 OWT393228:OWT393721 PGP393228:PGP393721 PQL393228:PQL393721 QAH393228:QAH393721 QKD393228:QKD393721 QTZ393228:QTZ393721 RDV393228:RDV393721 RNR393228:RNR393721 RXN393228:RXN393721 SHJ393228:SHJ393721 SRF393228:SRF393721 TBB393228:TBB393721 TKX393228:TKX393721 TUT393228:TUT393721 UEP393228:UEP393721 UOL393228:UOL393721 UYH393228:UYH393721 VID393228:VID393721 VRZ393228:VRZ393721 WBV393228:WBV393721 WLR393228:WLR393721 WVN393228:WVN393721 F458764:F459257 JB458764:JB459257 SX458764:SX459257 ACT458764:ACT459257 AMP458764:AMP459257 AWL458764:AWL459257 BGH458764:BGH459257 BQD458764:BQD459257 BZZ458764:BZZ459257 CJV458764:CJV459257 CTR458764:CTR459257 DDN458764:DDN459257 DNJ458764:DNJ459257 DXF458764:DXF459257 EHB458764:EHB459257 EQX458764:EQX459257 FAT458764:FAT459257 FKP458764:FKP459257 FUL458764:FUL459257 GEH458764:GEH459257 GOD458764:GOD459257 GXZ458764:GXZ459257 HHV458764:HHV459257 HRR458764:HRR459257 IBN458764:IBN459257 ILJ458764:ILJ459257 IVF458764:IVF459257 JFB458764:JFB459257 JOX458764:JOX459257 JYT458764:JYT459257 KIP458764:KIP459257 KSL458764:KSL459257 LCH458764:LCH459257 LMD458764:LMD459257 LVZ458764:LVZ459257 MFV458764:MFV459257 MPR458764:MPR459257 MZN458764:MZN459257 NJJ458764:NJJ459257 NTF458764:NTF459257 ODB458764:ODB459257 OMX458764:OMX459257 OWT458764:OWT459257 PGP458764:PGP459257 PQL458764:PQL459257 QAH458764:QAH459257 QKD458764:QKD459257 QTZ458764:QTZ459257 RDV458764:RDV459257 RNR458764:RNR459257 RXN458764:RXN459257 SHJ458764:SHJ459257 SRF458764:SRF459257 TBB458764:TBB459257 TKX458764:TKX459257 TUT458764:TUT459257 UEP458764:UEP459257 UOL458764:UOL459257 UYH458764:UYH459257 VID458764:VID459257 VRZ458764:VRZ459257 WBV458764:WBV459257 WLR458764:WLR459257 WVN458764:WVN459257 F524300:F524793 JB524300:JB524793 SX524300:SX524793 ACT524300:ACT524793 AMP524300:AMP524793 AWL524300:AWL524793 BGH524300:BGH524793 BQD524300:BQD524793 BZZ524300:BZZ524793 CJV524300:CJV524793 CTR524300:CTR524793 DDN524300:DDN524793 DNJ524300:DNJ524793 DXF524300:DXF524793 EHB524300:EHB524793 EQX524300:EQX524793 FAT524300:FAT524793 FKP524300:FKP524793 FUL524300:FUL524793 GEH524300:GEH524793 GOD524300:GOD524793 GXZ524300:GXZ524793 HHV524300:HHV524793 HRR524300:HRR524793 IBN524300:IBN524793 ILJ524300:ILJ524793 IVF524300:IVF524793 JFB524300:JFB524793 JOX524300:JOX524793 JYT524300:JYT524793 KIP524300:KIP524793 KSL524300:KSL524793 LCH524300:LCH524793 LMD524300:LMD524793 LVZ524300:LVZ524793 MFV524300:MFV524793 MPR524300:MPR524793 MZN524300:MZN524793 NJJ524300:NJJ524793 NTF524300:NTF524793 ODB524300:ODB524793 OMX524300:OMX524793 OWT524300:OWT524793 PGP524300:PGP524793 PQL524300:PQL524793 QAH524300:QAH524793 QKD524300:QKD524793 QTZ524300:QTZ524793 RDV524300:RDV524793 RNR524300:RNR524793 RXN524300:RXN524793 SHJ524300:SHJ524793 SRF524300:SRF524793 TBB524300:TBB524793 TKX524300:TKX524793 TUT524300:TUT524793 UEP524300:UEP524793 UOL524300:UOL524793 UYH524300:UYH524793 VID524300:VID524793 VRZ524300:VRZ524793 WBV524300:WBV524793 WLR524300:WLR524793 WVN524300:WVN524793 F589836:F590329 JB589836:JB590329 SX589836:SX590329 ACT589836:ACT590329 AMP589836:AMP590329 AWL589836:AWL590329 BGH589836:BGH590329 BQD589836:BQD590329 BZZ589836:BZZ590329 CJV589836:CJV590329 CTR589836:CTR590329 DDN589836:DDN590329 DNJ589836:DNJ590329 DXF589836:DXF590329 EHB589836:EHB590329 EQX589836:EQX590329 FAT589836:FAT590329 FKP589836:FKP590329 FUL589836:FUL590329 GEH589836:GEH590329 GOD589836:GOD590329 GXZ589836:GXZ590329 HHV589836:HHV590329 HRR589836:HRR590329 IBN589836:IBN590329 ILJ589836:ILJ590329 IVF589836:IVF590329 JFB589836:JFB590329 JOX589836:JOX590329 JYT589836:JYT590329 KIP589836:KIP590329 KSL589836:KSL590329 LCH589836:LCH590329 LMD589836:LMD590329 LVZ589836:LVZ590329 MFV589836:MFV590329 MPR589836:MPR590329 MZN589836:MZN590329 NJJ589836:NJJ590329 NTF589836:NTF590329 ODB589836:ODB590329 OMX589836:OMX590329 OWT589836:OWT590329 PGP589836:PGP590329 PQL589836:PQL590329 QAH589836:QAH590329 QKD589836:QKD590329 QTZ589836:QTZ590329 RDV589836:RDV590329 RNR589836:RNR590329 RXN589836:RXN590329 SHJ589836:SHJ590329 SRF589836:SRF590329 TBB589836:TBB590329 TKX589836:TKX590329 TUT589836:TUT590329 UEP589836:UEP590329 UOL589836:UOL590329 UYH589836:UYH590329 VID589836:VID590329 VRZ589836:VRZ590329 WBV589836:WBV590329 WLR589836:WLR590329 WVN589836:WVN590329 F655372:F655865 JB655372:JB655865 SX655372:SX655865 ACT655372:ACT655865 AMP655372:AMP655865 AWL655372:AWL655865 BGH655372:BGH655865 BQD655372:BQD655865 BZZ655372:BZZ655865 CJV655372:CJV655865 CTR655372:CTR655865 DDN655372:DDN655865 DNJ655372:DNJ655865 DXF655372:DXF655865 EHB655372:EHB655865 EQX655372:EQX655865 FAT655372:FAT655865 FKP655372:FKP655865 FUL655372:FUL655865 GEH655372:GEH655865 GOD655372:GOD655865 GXZ655372:GXZ655865 HHV655372:HHV655865 HRR655372:HRR655865 IBN655372:IBN655865 ILJ655372:ILJ655865 IVF655372:IVF655865 JFB655372:JFB655865 JOX655372:JOX655865 JYT655372:JYT655865 KIP655372:KIP655865 KSL655372:KSL655865 LCH655372:LCH655865 LMD655372:LMD655865 LVZ655372:LVZ655865 MFV655372:MFV655865 MPR655372:MPR655865 MZN655372:MZN655865 NJJ655372:NJJ655865 NTF655372:NTF655865 ODB655372:ODB655865 OMX655372:OMX655865 OWT655372:OWT655865 PGP655372:PGP655865 PQL655372:PQL655865 QAH655372:QAH655865 QKD655372:QKD655865 QTZ655372:QTZ655865 RDV655372:RDV655865 RNR655372:RNR655865 RXN655372:RXN655865 SHJ655372:SHJ655865 SRF655372:SRF655865 TBB655372:TBB655865 TKX655372:TKX655865 TUT655372:TUT655865 UEP655372:UEP655865 UOL655372:UOL655865 UYH655372:UYH655865 VID655372:VID655865 VRZ655372:VRZ655865 WBV655372:WBV655865 WLR655372:WLR655865 WVN655372:WVN655865 F720908:F721401 JB720908:JB721401 SX720908:SX721401 ACT720908:ACT721401 AMP720908:AMP721401 AWL720908:AWL721401 BGH720908:BGH721401 BQD720908:BQD721401 BZZ720908:BZZ721401 CJV720908:CJV721401 CTR720908:CTR721401 DDN720908:DDN721401 DNJ720908:DNJ721401 DXF720908:DXF721401 EHB720908:EHB721401 EQX720908:EQX721401 FAT720908:FAT721401 FKP720908:FKP721401 FUL720908:FUL721401 GEH720908:GEH721401 GOD720908:GOD721401 GXZ720908:GXZ721401 HHV720908:HHV721401 HRR720908:HRR721401 IBN720908:IBN721401 ILJ720908:ILJ721401 IVF720908:IVF721401 JFB720908:JFB721401 JOX720908:JOX721401 JYT720908:JYT721401 KIP720908:KIP721401 KSL720908:KSL721401 LCH720908:LCH721401 LMD720908:LMD721401 LVZ720908:LVZ721401 MFV720908:MFV721401 MPR720908:MPR721401 MZN720908:MZN721401 NJJ720908:NJJ721401 NTF720908:NTF721401 ODB720908:ODB721401 OMX720908:OMX721401 OWT720908:OWT721401 PGP720908:PGP721401 PQL720908:PQL721401 QAH720908:QAH721401 QKD720908:QKD721401 QTZ720908:QTZ721401 RDV720908:RDV721401 RNR720908:RNR721401 RXN720908:RXN721401 SHJ720908:SHJ721401 SRF720908:SRF721401 TBB720908:TBB721401 TKX720908:TKX721401 TUT720908:TUT721401 UEP720908:UEP721401 UOL720908:UOL721401 UYH720908:UYH721401 VID720908:VID721401 VRZ720908:VRZ721401 WBV720908:WBV721401 WLR720908:WLR721401 WVN720908:WVN721401 F786444:F786937 JB786444:JB786937 SX786444:SX786937 ACT786444:ACT786937 AMP786444:AMP786937 AWL786444:AWL786937 BGH786444:BGH786937 BQD786444:BQD786937 BZZ786444:BZZ786937 CJV786444:CJV786937 CTR786444:CTR786937 DDN786444:DDN786937 DNJ786444:DNJ786937 DXF786444:DXF786937 EHB786444:EHB786937 EQX786444:EQX786937 FAT786444:FAT786937 FKP786444:FKP786937 FUL786444:FUL786937 GEH786444:GEH786937 GOD786444:GOD786937 GXZ786444:GXZ786937 HHV786444:HHV786937 HRR786444:HRR786937 IBN786444:IBN786937 ILJ786444:ILJ786937 IVF786444:IVF786937 JFB786444:JFB786937 JOX786444:JOX786937 JYT786444:JYT786937 KIP786444:KIP786937 KSL786444:KSL786937 LCH786444:LCH786937 LMD786444:LMD786937 LVZ786444:LVZ786937 MFV786444:MFV786937 MPR786444:MPR786937 MZN786444:MZN786937 NJJ786444:NJJ786937 NTF786444:NTF786937 ODB786444:ODB786937 OMX786444:OMX786937 OWT786444:OWT786937 PGP786444:PGP786937 PQL786444:PQL786937 QAH786444:QAH786937 QKD786444:QKD786937 QTZ786444:QTZ786937 RDV786444:RDV786937 RNR786444:RNR786937 RXN786444:RXN786937 SHJ786444:SHJ786937 SRF786444:SRF786937 TBB786444:TBB786937 TKX786444:TKX786937 TUT786444:TUT786937 UEP786444:UEP786937 UOL786444:UOL786937 UYH786444:UYH786937 VID786444:VID786937 VRZ786444:VRZ786937 WBV786444:WBV786937 WLR786444:WLR786937 WVN786444:WVN786937 F851980:F852473 JB851980:JB852473 SX851980:SX852473 ACT851980:ACT852473 AMP851980:AMP852473 AWL851980:AWL852473 BGH851980:BGH852473 BQD851980:BQD852473 BZZ851980:BZZ852473 CJV851980:CJV852473 CTR851980:CTR852473 DDN851980:DDN852473 DNJ851980:DNJ852473 DXF851980:DXF852473 EHB851980:EHB852473 EQX851980:EQX852473 FAT851980:FAT852473 FKP851980:FKP852473 FUL851980:FUL852473 GEH851980:GEH852473 GOD851980:GOD852473 GXZ851980:GXZ852473 HHV851980:HHV852473 HRR851980:HRR852473 IBN851980:IBN852473 ILJ851980:ILJ852473 IVF851980:IVF852473 JFB851980:JFB852473 JOX851980:JOX852473 JYT851980:JYT852473 KIP851980:KIP852473 KSL851980:KSL852473 LCH851980:LCH852473 LMD851980:LMD852473 LVZ851980:LVZ852473 MFV851980:MFV852473 MPR851980:MPR852473 MZN851980:MZN852473 NJJ851980:NJJ852473 NTF851980:NTF852473 ODB851980:ODB852473 OMX851980:OMX852473 OWT851980:OWT852473 PGP851980:PGP852473 PQL851980:PQL852473 QAH851980:QAH852473 QKD851980:QKD852473 QTZ851980:QTZ852473 RDV851980:RDV852473 RNR851980:RNR852473 RXN851980:RXN852473 SHJ851980:SHJ852473 SRF851980:SRF852473 TBB851980:TBB852473 TKX851980:TKX852473 TUT851980:TUT852473 UEP851980:UEP852473 UOL851980:UOL852473 UYH851980:UYH852473 VID851980:VID852473 VRZ851980:VRZ852473 WBV851980:WBV852473 WLR851980:WLR852473 WVN851980:WVN852473 F917516:F918009 JB917516:JB918009 SX917516:SX918009 ACT917516:ACT918009 AMP917516:AMP918009 AWL917516:AWL918009 BGH917516:BGH918009 BQD917516:BQD918009 BZZ917516:BZZ918009 CJV917516:CJV918009 CTR917516:CTR918009 DDN917516:DDN918009 DNJ917516:DNJ918009 DXF917516:DXF918009 EHB917516:EHB918009 EQX917516:EQX918009 FAT917516:FAT918009 FKP917516:FKP918009 FUL917516:FUL918009 GEH917516:GEH918009 GOD917516:GOD918009 GXZ917516:GXZ918009 HHV917516:HHV918009 HRR917516:HRR918009 IBN917516:IBN918009 ILJ917516:ILJ918009 IVF917516:IVF918009 JFB917516:JFB918009 JOX917516:JOX918009 JYT917516:JYT918009 KIP917516:KIP918009 KSL917516:KSL918009 LCH917516:LCH918009 LMD917516:LMD918009 LVZ917516:LVZ918009 MFV917516:MFV918009 MPR917516:MPR918009 MZN917516:MZN918009 NJJ917516:NJJ918009 NTF917516:NTF918009 ODB917516:ODB918009 OMX917516:OMX918009 OWT917516:OWT918009 PGP917516:PGP918009 PQL917516:PQL918009 QAH917516:QAH918009 QKD917516:QKD918009 QTZ917516:QTZ918009 RDV917516:RDV918009 RNR917516:RNR918009 RXN917516:RXN918009 SHJ917516:SHJ918009 SRF917516:SRF918009 TBB917516:TBB918009 TKX917516:TKX918009 TUT917516:TUT918009 UEP917516:UEP918009 UOL917516:UOL918009 UYH917516:UYH918009 VID917516:VID918009 VRZ917516:VRZ918009 WBV917516:WBV918009 WLR917516:WLR918009 WVN917516:WVN918009 F983052:F983545 JB983052:JB983545 SX983052:SX983545 ACT983052:ACT983545 AMP983052:AMP983545 AWL983052:AWL983545 BGH983052:BGH983545 BQD983052:BQD983545 BZZ983052:BZZ983545 CJV983052:CJV983545 CTR983052:CTR983545 DDN983052:DDN983545 DNJ983052:DNJ983545 DXF983052:DXF983545 EHB983052:EHB983545 EQX983052:EQX983545 FAT983052:FAT983545 FKP983052:FKP983545 FUL983052:FUL983545 GEH983052:GEH983545 GOD983052:GOD983545 GXZ983052:GXZ983545 HHV983052:HHV983545 HRR983052:HRR983545 IBN983052:IBN983545 ILJ983052:ILJ983545 IVF983052:IVF983545 JFB983052:JFB983545 JOX983052:JOX983545 JYT983052:JYT983545 KIP983052:KIP983545 KSL983052:KSL983545 LCH983052:LCH983545 LMD983052:LMD983545 LVZ983052:LVZ983545 MFV983052:MFV983545 MPR983052:MPR983545 MZN983052:MZN983545 NJJ983052:NJJ983545 NTF983052:NTF983545 ODB983052:ODB983545 OMX983052:OMX983545 OWT983052:OWT983545 PGP983052:PGP983545 PQL983052:PQL983545 QAH983052:QAH983545 QKD983052:QKD983545 QTZ983052:QTZ983545 RDV983052:RDV983545 RNR983052:RNR983545 RXN983052:RXN983545 SHJ983052:SHJ983545 SRF983052:SRF983545 TBB983052:TBB983545 TKX983052:TKX983545 TUT983052:TUT983545 UEP983052:UEP983545 UOL983052:UOL983545 UYH983052:UYH983545 VID983052:VID983545 VRZ983052:VRZ983545 WBV983052:WBV983545 WLR983052:WLR983545 F11:F505 JB12:JB505 SX12:SX505 ACT12:ACT505 AMP12:AMP505 AWL12:AWL505 BGH12:BGH505 BQD12:BQD505 BZZ12:BZZ505 CJV12:CJV505 CTR12:CTR505 DDN12:DDN505 DNJ12:DNJ505 DXF12:DXF505 EHB12:EHB505 EQX12:EQX505 FAT12:FAT505 FKP12:FKP505 FUL12:FUL505 GEH12:GEH505 GOD12:GOD505 GXZ12:GXZ505 HHV12:HHV505 HRR12:HRR505 IBN12:IBN505 ILJ12:ILJ505 IVF12:IVF505 JFB12:JFB505 JOX12:JOX505 JYT12:JYT505 KIP12:KIP505 KSL12:KSL505 LCH12:LCH505 LMD12:LMD505 LVZ12:LVZ505 MFV12:MFV505 MPR12:MPR505 MZN12:MZN505 NJJ12:NJJ505 NTF12:NTF505 ODB12:ODB505 OMX12:OMX505 OWT12:OWT505 PGP12:PGP505 PQL12:PQL505 QAH12:QAH505 QKD12:QKD505 QTZ12:QTZ505 RDV12:RDV505 RNR12:RNR505 RXN12:RXN505 SHJ12:SHJ505 SRF12:SRF505 TBB12:TBB505 TKX12:TKX505 TUT12:TUT505 UEP12:UEP505 UOL12:UOL505 UYH12:UYH505 VID12:VID505 VRZ12:VRZ505 WBV12:WBV505 WLR12:WLR505 WVN12:WVN505" xr:uid="{9BDD8622-5258-40D0-BB44-B48826DDB41D}">
      <formula1>Status_List</formula1>
    </dataValidation>
  </dataValidations>
  <pageMargins left="0.75" right="0.75" top="1" bottom="1" header="0.5" footer="0.5"/>
  <pageSetup orientation="portrait" horizontalDpi="4294967292" verticalDpi="4294967292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43"/>
  <sheetViews>
    <sheetView tabSelected="1" topLeftCell="B1" zoomScale="85" zoomScaleNormal="85" workbookViewId="0">
      <selection activeCell="B7" sqref="B7:E23"/>
    </sheetView>
  </sheetViews>
  <sheetFormatPr defaultColWidth="8.85546875" defaultRowHeight="15"/>
  <cols>
    <col min="2" max="2" width="27.42578125" customWidth="1"/>
    <col min="3" max="3" width="13.7109375" customWidth="1"/>
    <col min="4" max="4" width="15.28515625" customWidth="1"/>
    <col min="5" max="5" width="12.140625" customWidth="1"/>
  </cols>
  <sheetData>
    <row r="1" spans="1:39">
      <c r="A1" s="12" t="s">
        <v>0</v>
      </c>
      <c r="B1" s="12"/>
      <c r="C1" s="12"/>
      <c r="D1" s="12"/>
      <c r="E1" s="1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>
      <c r="A2" s="12"/>
      <c r="B2" s="12"/>
      <c r="C2" s="12"/>
      <c r="D2" s="12"/>
      <c r="E2" s="1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1:39" ht="21">
      <c r="A3" s="2" t="s">
        <v>1</v>
      </c>
      <c r="B3" s="3"/>
      <c r="C3" s="3"/>
      <c r="D3" s="4"/>
      <c r="E3" s="4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39" ht="37.5">
      <c r="A7" s="1"/>
      <c r="B7" s="6" t="s">
        <v>2</v>
      </c>
      <c r="C7" s="6" t="s">
        <v>3</v>
      </c>
      <c r="D7" s="6" t="s">
        <v>4</v>
      </c>
      <c r="E7" s="6" t="s">
        <v>5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39" ht="18.75">
      <c r="A8" s="1"/>
      <c r="B8" s="7"/>
      <c r="C8" s="8"/>
      <c r="D8" s="8"/>
      <c r="E8" s="8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18.75">
      <c r="A9" s="1"/>
      <c r="B9" s="7" t="s">
        <v>20</v>
      </c>
      <c r="C9" s="9">
        <v>43617</v>
      </c>
      <c r="D9" s="9">
        <v>43623</v>
      </c>
      <c r="E9" s="10">
        <f>D9-C9</f>
        <v>6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39" ht="18.75">
      <c r="A10" s="1"/>
      <c r="B10" s="7" t="s">
        <v>6</v>
      </c>
      <c r="C10" s="9">
        <v>43618</v>
      </c>
      <c r="D10" s="9">
        <v>43624</v>
      </c>
      <c r="E10" s="10">
        <f t="shared" ref="E10:E23" si="0">D10-C10</f>
        <v>6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39" ht="18.75">
      <c r="A11" s="1"/>
      <c r="B11" s="7" t="s">
        <v>7</v>
      </c>
      <c r="C11" s="9">
        <v>43619</v>
      </c>
      <c r="D11" s="9">
        <v>43622</v>
      </c>
      <c r="E11" s="10">
        <f t="shared" si="0"/>
        <v>3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18.75">
      <c r="A12" s="1"/>
      <c r="B12" s="7" t="s">
        <v>8</v>
      </c>
      <c r="C12" s="9">
        <v>43622</v>
      </c>
      <c r="D12" s="9">
        <v>43624</v>
      </c>
      <c r="E12" s="10">
        <f t="shared" si="0"/>
        <v>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39" ht="18.75">
      <c r="A13" s="1"/>
      <c r="B13" s="7" t="s">
        <v>9</v>
      </c>
      <c r="C13" s="9">
        <v>43622</v>
      </c>
      <c r="D13" s="9">
        <v>43630</v>
      </c>
      <c r="E13" s="10">
        <f t="shared" si="0"/>
        <v>8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39" ht="18.75">
      <c r="A14" s="1"/>
      <c r="B14" s="7" t="s">
        <v>10</v>
      </c>
      <c r="C14" s="9">
        <v>43624</v>
      </c>
      <c r="D14" s="9">
        <v>43629</v>
      </c>
      <c r="E14" s="10">
        <f t="shared" si="0"/>
        <v>5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39" ht="18.75">
      <c r="A15" s="1"/>
      <c r="B15" s="7" t="s">
        <v>11</v>
      </c>
      <c r="C15" s="9">
        <v>43625</v>
      </c>
      <c r="D15" s="9">
        <v>43633</v>
      </c>
      <c r="E15" s="10">
        <f t="shared" si="0"/>
        <v>8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39" ht="18.75">
      <c r="A16" s="1"/>
      <c r="B16" s="7" t="s">
        <v>12</v>
      </c>
      <c r="C16" s="9">
        <v>43626</v>
      </c>
      <c r="D16" s="9">
        <v>43627</v>
      </c>
      <c r="E16" s="10">
        <f t="shared" si="0"/>
        <v>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 ht="18.75">
      <c r="A17" s="1"/>
      <c r="B17" s="7" t="s">
        <v>13</v>
      </c>
      <c r="C17" s="9">
        <v>43629</v>
      </c>
      <c r="D17" s="9">
        <v>43630</v>
      </c>
      <c r="E17" s="10">
        <f t="shared" si="0"/>
        <v>1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 ht="18.75">
      <c r="A18" s="1"/>
      <c r="B18" s="7" t="s">
        <v>14</v>
      </c>
      <c r="C18" s="9">
        <v>43630</v>
      </c>
      <c r="D18" s="9">
        <v>43636</v>
      </c>
      <c r="E18" s="10">
        <f t="shared" si="0"/>
        <v>6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 ht="18.75">
      <c r="A19" s="1"/>
      <c r="B19" s="7" t="s">
        <v>15</v>
      </c>
      <c r="C19" s="9">
        <v>43631</v>
      </c>
      <c r="D19" s="9">
        <v>43632</v>
      </c>
      <c r="E19" s="10">
        <f t="shared" si="0"/>
        <v>1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 ht="18.75">
      <c r="A20" s="1"/>
      <c r="B20" s="7" t="s">
        <v>16</v>
      </c>
      <c r="C20" s="9">
        <v>43632</v>
      </c>
      <c r="D20" s="9">
        <v>43637</v>
      </c>
      <c r="E20" s="10">
        <f t="shared" si="0"/>
        <v>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 ht="18.75">
      <c r="A21" s="1"/>
      <c r="B21" s="7" t="s">
        <v>17</v>
      </c>
      <c r="C21" s="9">
        <v>43633</v>
      </c>
      <c r="D21" s="9">
        <v>43636</v>
      </c>
      <c r="E21" s="10">
        <f t="shared" si="0"/>
        <v>3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 ht="18.75">
      <c r="A22" s="1"/>
      <c r="B22" s="7" t="s">
        <v>18</v>
      </c>
      <c r="C22" s="9">
        <v>43636</v>
      </c>
      <c r="D22" s="9">
        <v>43637</v>
      </c>
      <c r="E22" s="10">
        <f t="shared" si="0"/>
        <v>1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 ht="18.75">
      <c r="A23" s="1"/>
      <c r="B23" s="7" t="s">
        <v>19</v>
      </c>
      <c r="C23" s="9">
        <v>43637</v>
      </c>
      <c r="D23" s="9">
        <v>43642</v>
      </c>
      <c r="E23" s="10">
        <f t="shared" si="0"/>
        <v>5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</row>
    <row r="29" spans="1:39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</row>
    <row r="30" spans="1:39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</row>
    <row r="34" spans="1:39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</row>
    <row r="36" spans="1:39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</row>
    <row r="38" spans="1:39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 ht="23.25"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</row>
  </sheetData>
  <mergeCells count="2">
    <mergeCell ref="A1:E2"/>
    <mergeCell ref="T43:AM43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F64D7-7B13-46FB-B113-43D838894F42}">
  <dimension ref="A1:AL427"/>
  <sheetViews>
    <sheetView zoomScaleNormal="100" workbookViewId="0">
      <selection activeCell="P31" sqref="P31"/>
    </sheetView>
  </sheetViews>
  <sheetFormatPr defaultColWidth="12" defaultRowHeight="15"/>
  <cols>
    <col min="1" max="1" width="17.28515625" customWidth="1"/>
    <col min="2" max="2" width="28.7109375" customWidth="1"/>
    <col min="3" max="3" width="21.7109375" customWidth="1"/>
    <col min="4" max="12" width="12.140625" customWidth="1"/>
    <col min="13" max="13" width="15.42578125" customWidth="1"/>
    <col min="14" max="14" width="11.7109375" bestFit="1" customWidth="1"/>
    <col min="15" max="15" width="14.7109375" bestFit="1" customWidth="1"/>
  </cols>
  <sheetData>
    <row r="1" spans="1:38" ht="21.95" customHeight="1">
      <c r="A1" s="14" t="s">
        <v>21</v>
      </c>
      <c r="B1" s="14"/>
      <c r="C1" s="14"/>
      <c r="D1" s="14"/>
      <c r="E1" s="14"/>
      <c r="G1" s="15"/>
      <c r="H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ht="15" customHeight="1">
      <c r="A2" s="14"/>
      <c r="B2" s="14"/>
      <c r="C2" s="14"/>
      <c r="D2" s="14"/>
      <c r="E2" s="14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</row>
    <row r="3" spans="1:38" ht="24" customHeight="1">
      <c r="A3" s="16" t="s">
        <v>1</v>
      </c>
      <c r="B3" s="17" t="s">
        <v>22</v>
      </c>
      <c r="C3" s="14"/>
      <c r="D3" s="14"/>
      <c r="E3" s="14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</row>
    <row r="4" spans="1:38" ht="24" customHeight="1">
      <c r="A4" s="18" t="s">
        <v>23</v>
      </c>
      <c r="B4" s="19" t="s">
        <v>24</v>
      </c>
      <c r="C4" s="14"/>
      <c r="D4" s="14"/>
      <c r="E4" s="14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</row>
    <row r="5" spans="1:38" ht="23.1" customHeight="1">
      <c r="A5" s="18" t="s">
        <v>25</v>
      </c>
      <c r="B5" s="19" t="s">
        <v>26</v>
      </c>
      <c r="C5" s="15"/>
      <c r="D5" s="15"/>
      <c r="E5" s="15"/>
      <c r="G5" s="15"/>
      <c r="H5" s="15"/>
      <c r="I5" s="15"/>
      <c r="J5" s="15"/>
      <c r="K5" s="15"/>
      <c r="L5" s="15"/>
      <c r="M5" s="15"/>
      <c r="N5" s="15"/>
      <c r="O5" s="20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</row>
    <row r="6" spans="1:38" ht="15.75">
      <c r="B6" s="21"/>
      <c r="C6" s="22"/>
      <c r="D6" s="23"/>
      <c r="E6" s="23"/>
      <c r="F6" s="23"/>
      <c r="G6" s="23"/>
      <c r="H6" s="23"/>
      <c r="I6" s="15"/>
      <c r="J6" s="15"/>
      <c r="K6" s="23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</row>
    <row r="7" spans="1:38" ht="17.100000000000001" customHeight="1">
      <c r="B7" s="24"/>
      <c r="C7" s="25"/>
      <c r="D7" s="26"/>
      <c r="E7" s="27" t="s">
        <v>27</v>
      </c>
      <c r="F7" s="28"/>
      <c r="G7" s="29" t="s">
        <v>28</v>
      </c>
      <c r="H7" s="30"/>
      <c r="I7" s="31"/>
      <c r="J7" s="31"/>
      <c r="K7" s="32" t="s">
        <v>29</v>
      </c>
      <c r="L7" s="31"/>
      <c r="M7" s="33"/>
      <c r="N7" s="33"/>
      <c r="O7" s="34" t="s">
        <v>30</v>
      </c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</row>
    <row r="8" spans="1:38" ht="14.1" customHeight="1">
      <c r="B8" s="35"/>
      <c r="C8" s="36"/>
      <c r="D8" s="37" t="s">
        <v>31</v>
      </c>
      <c r="E8" s="37" t="s">
        <v>32</v>
      </c>
      <c r="F8" s="37" t="s">
        <v>33</v>
      </c>
      <c r="G8" s="38" t="s">
        <v>34</v>
      </c>
      <c r="H8" s="38" t="s">
        <v>35</v>
      </c>
      <c r="I8" s="39" t="s">
        <v>36</v>
      </c>
      <c r="J8" s="39" t="s">
        <v>37</v>
      </c>
      <c r="K8" s="40"/>
      <c r="L8" s="39" t="s">
        <v>38</v>
      </c>
      <c r="M8" s="41" t="s">
        <v>39</v>
      </c>
      <c r="N8" s="41" t="s">
        <v>40</v>
      </c>
      <c r="O8" s="42" t="s">
        <v>41</v>
      </c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</row>
    <row r="9" spans="1:38">
      <c r="A9" s="43" t="s">
        <v>42</v>
      </c>
      <c r="B9" s="43" t="s">
        <v>43</v>
      </c>
      <c r="C9" s="44" t="s">
        <v>44</v>
      </c>
      <c r="D9" s="45"/>
      <c r="E9" s="45"/>
      <c r="F9" s="46"/>
      <c r="G9" s="45"/>
      <c r="H9" s="46"/>
      <c r="I9" s="45"/>
      <c r="J9" s="45"/>
      <c r="K9" s="46"/>
      <c r="L9" s="45"/>
      <c r="M9" s="47">
        <f>SUM(M10:M18)</f>
        <v>700</v>
      </c>
      <c r="N9" s="47">
        <f>SUM(N10:N18)</f>
        <v>1590</v>
      </c>
      <c r="O9" s="47">
        <f>M9-N9</f>
        <v>-890</v>
      </c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</row>
    <row r="10" spans="1:38" ht="15.95" customHeight="1">
      <c r="A10" s="48">
        <v>1</v>
      </c>
      <c r="B10" s="49" t="s">
        <v>45</v>
      </c>
      <c r="C10" s="50" t="s">
        <v>46</v>
      </c>
      <c r="D10" s="51">
        <v>8</v>
      </c>
      <c r="E10" s="51">
        <v>8</v>
      </c>
      <c r="F10" s="52">
        <v>30</v>
      </c>
      <c r="G10" s="51">
        <v>100</v>
      </c>
      <c r="H10" s="52">
        <v>5</v>
      </c>
      <c r="I10" s="51"/>
      <c r="J10" s="51"/>
      <c r="K10" s="52">
        <v>50</v>
      </c>
      <c r="L10" s="51"/>
      <c r="M10" s="53">
        <v>300</v>
      </c>
      <c r="N10" s="54">
        <f t="shared" ref="N10:N18" si="0">(E10*F10)+(G10*H10)+I10+J10+K10+L10</f>
        <v>790</v>
      </c>
      <c r="O10" s="55">
        <f t="shared" ref="O10:O18" si="1">M10-N10</f>
        <v>-490</v>
      </c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</row>
    <row r="11" spans="1:38" ht="15.95" customHeight="1">
      <c r="A11" s="48">
        <v>2</v>
      </c>
      <c r="B11" s="49" t="s">
        <v>45</v>
      </c>
      <c r="C11" s="50" t="s">
        <v>47</v>
      </c>
      <c r="D11" s="51">
        <v>8</v>
      </c>
      <c r="E11" s="51">
        <v>8</v>
      </c>
      <c r="F11" s="52">
        <v>15</v>
      </c>
      <c r="G11" s="51"/>
      <c r="H11" s="52"/>
      <c r="I11" s="51">
        <v>30</v>
      </c>
      <c r="J11" s="51"/>
      <c r="K11" s="52">
        <v>100</v>
      </c>
      <c r="L11" s="51"/>
      <c r="M11" s="53">
        <v>300</v>
      </c>
      <c r="N11" s="54">
        <f t="shared" si="0"/>
        <v>250</v>
      </c>
      <c r="O11" s="56">
        <f t="shared" si="1"/>
        <v>50</v>
      </c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</row>
    <row r="12" spans="1:38" ht="15.95" customHeight="1">
      <c r="A12" s="48">
        <v>3</v>
      </c>
      <c r="B12" s="49" t="s">
        <v>45</v>
      </c>
      <c r="C12" s="50" t="s">
        <v>48</v>
      </c>
      <c r="D12" s="57"/>
      <c r="E12" s="51"/>
      <c r="F12" s="52"/>
      <c r="G12" s="51">
        <v>50</v>
      </c>
      <c r="H12" s="52">
        <v>11</v>
      </c>
      <c r="I12" s="51"/>
      <c r="J12" s="51"/>
      <c r="K12" s="52"/>
      <c r="L12" s="51"/>
      <c r="M12" s="53">
        <v>100</v>
      </c>
      <c r="N12" s="54">
        <f t="shared" si="0"/>
        <v>550</v>
      </c>
      <c r="O12" s="56">
        <f t="shared" si="1"/>
        <v>-450</v>
      </c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</row>
    <row r="13" spans="1:38" ht="15.95" customHeight="1">
      <c r="A13" s="48">
        <v>3.1</v>
      </c>
      <c r="B13" s="58" t="s">
        <v>49</v>
      </c>
      <c r="C13" s="58"/>
      <c r="D13" s="59"/>
      <c r="E13" s="51"/>
      <c r="F13" s="52"/>
      <c r="G13" s="51"/>
      <c r="H13" s="52"/>
      <c r="I13" s="60"/>
      <c r="J13" s="60"/>
      <c r="K13" s="52"/>
      <c r="L13" s="60"/>
      <c r="M13" s="53">
        <f t="shared" ref="M13:M18" si="2">E13*F13+G13*H13+K13</f>
        <v>0</v>
      </c>
      <c r="N13" s="54">
        <f t="shared" si="0"/>
        <v>0</v>
      </c>
      <c r="O13" s="56">
        <f t="shared" si="1"/>
        <v>0</v>
      </c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</row>
    <row r="14" spans="1:38" ht="15.95" customHeight="1">
      <c r="A14" s="48">
        <v>3.2</v>
      </c>
      <c r="B14" s="58" t="s">
        <v>49</v>
      </c>
      <c r="C14" s="58"/>
      <c r="D14" s="59"/>
      <c r="E14" s="51"/>
      <c r="F14" s="52"/>
      <c r="G14" s="51"/>
      <c r="H14" s="52"/>
      <c r="I14" s="60"/>
      <c r="J14" s="60"/>
      <c r="K14" s="52"/>
      <c r="L14" s="60"/>
      <c r="M14" s="53">
        <f t="shared" si="2"/>
        <v>0</v>
      </c>
      <c r="N14" s="54">
        <f t="shared" si="0"/>
        <v>0</v>
      </c>
      <c r="O14" s="56">
        <f t="shared" si="1"/>
        <v>0</v>
      </c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</row>
    <row r="15" spans="1:38" ht="15.95" customHeight="1">
      <c r="A15" s="48">
        <v>3.3</v>
      </c>
      <c r="B15" s="58" t="s">
        <v>49</v>
      </c>
      <c r="C15" s="58"/>
      <c r="D15" s="59"/>
      <c r="E15" s="51"/>
      <c r="F15" s="52"/>
      <c r="G15" s="51"/>
      <c r="H15" s="52"/>
      <c r="I15" s="61"/>
      <c r="J15" s="61"/>
      <c r="K15" s="52"/>
      <c r="L15" s="61"/>
      <c r="M15" s="53">
        <f t="shared" si="2"/>
        <v>0</v>
      </c>
      <c r="N15" s="54">
        <f t="shared" si="0"/>
        <v>0</v>
      </c>
      <c r="O15" s="56">
        <f t="shared" si="1"/>
        <v>0</v>
      </c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</row>
    <row r="16" spans="1:38" ht="15.95" customHeight="1">
      <c r="A16" s="48">
        <v>3.4</v>
      </c>
      <c r="B16" s="58" t="s">
        <v>49</v>
      </c>
      <c r="C16" s="58"/>
      <c r="D16" s="59"/>
      <c r="E16" s="51"/>
      <c r="F16" s="52"/>
      <c r="G16" s="51"/>
      <c r="H16" s="52"/>
      <c r="I16" s="60"/>
      <c r="J16" s="60"/>
      <c r="K16" s="52"/>
      <c r="L16" s="60"/>
      <c r="M16" s="53">
        <f t="shared" si="2"/>
        <v>0</v>
      </c>
      <c r="N16" s="54">
        <f t="shared" si="0"/>
        <v>0</v>
      </c>
      <c r="O16" s="56">
        <f t="shared" si="1"/>
        <v>0</v>
      </c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</row>
    <row r="17" spans="1:38" ht="15.95" customHeight="1">
      <c r="A17" s="48">
        <v>4</v>
      </c>
      <c r="B17" s="49" t="s">
        <v>45</v>
      </c>
      <c r="C17" s="49"/>
      <c r="D17" s="57"/>
      <c r="E17" s="51"/>
      <c r="F17" s="52"/>
      <c r="G17" s="51"/>
      <c r="H17" s="52"/>
      <c r="I17" s="51"/>
      <c r="J17" s="51"/>
      <c r="K17" s="52"/>
      <c r="L17" s="51"/>
      <c r="M17" s="53">
        <f t="shared" si="2"/>
        <v>0</v>
      </c>
      <c r="N17" s="54">
        <f t="shared" si="0"/>
        <v>0</v>
      </c>
      <c r="O17" s="56">
        <f t="shared" si="1"/>
        <v>0</v>
      </c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</row>
    <row r="18" spans="1:38" ht="15.95" customHeight="1">
      <c r="A18" s="48">
        <v>5</v>
      </c>
      <c r="B18" s="49" t="s">
        <v>45</v>
      </c>
      <c r="C18" s="49"/>
      <c r="D18" s="57"/>
      <c r="E18" s="51"/>
      <c r="F18" s="52"/>
      <c r="G18" s="51"/>
      <c r="H18" s="52"/>
      <c r="I18" s="51"/>
      <c r="J18" s="51"/>
      <c r="K18" s="52"/>
      <c r="L18" s="51"/>
      <c r="M18" s="53">
        <f t="shared" si="2"/>
        <v>0</v>
      </c>
      <c r="N18" s="54">
        <f t="shared" si="0"/>
        <v>0</v>
      </c>
      <c r="O18" s="56">
        <f t="shared" si="1"/>
        <v>0</v>
      </c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</row>
    <row r="19" spans="1:38" ht="15.75">
      <c r="A19" s="62"/>
      <c r="B19" s="63" t="s">
        <v>50</v>
      </c>
      <c r="C19" s="63"/>
      <c r="D19" s="64"/>
      <c r="E19" s="65"/>
      <c r="F19" s="66">
        <f>(E10*F10)+(E11*F11)+(E12*F12)+(E13*F13)+(E14*F14)+(E15*F15)+(E16*F16)+(E17*F17)+(E18*F18)</f>
        <v>360</v>
      </c>
      <c r="G19" s="67"/>
      <c r="H19" s="66">
        <f>(G10*H10)+(G11*H11)+(G12*H12)+(G13*H13)+(G14*H14)+(G15*H15)+(G16*H16)+(G17*H17)+(G18*H18)</f>
        <v>1050</v>
      </c>
      <c r="I19" s="67">
        <f>SUM(I10:I18)</f>
        <v>30</v>
      </c>
      <c r="J19" s="67"/>
      <c r="K19" s="66">
        <f>SUM(K10:K18)</f>
        <v>150</v>
      </c>
      <c r="L19" s="67">
        <f>SUM(L10:L18)</f>
        <v>0</v>
      </c>
      <c r="M19" s="68">
        <f>SUM(M10:M18)</f>
        <v>700</v>
      </c>
      <c r="N19" s="66">
        <f>SUM(F19:L19)</f>
        <v>1590</v>
      </c>
      <c r="O19" s="69">
        <f>M19-N19</f>
        <v>-890</v>
      </c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</row>
    <row r="20" spans="1:38" ht="15.75">
      <c r="B20" s="70"/>
      <c r="C20" s="70"/>
      <c r="D20" s="70"/>
      <c r="E20" s="71"/>
      <c r="F20" s="72"/>
      <c r="G20" s="71"/>
      <c r="H20" s="72"/>
      <c r="I20" s="71"/>
      <c r="J20" s="71"/>
      <c r="K20" s="72"/>
      <c r="L20" s="71"/>
      <c r="M20" s="73"/>
      <c r="N20" s="72"/>
      <c r="O20" s="74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</row>
    <row r="21" spans="1:38" s="15" customFormat="1" ht="15.75">
      <c r="B21" s="75"/>
      <c r="C21" s="75"/>
      <c r="D21" s="75"/>
      <c r="E21" s="76"/>
      <c r="F21" s="77"/>
      <c r="G21" s="76"/>
      <c r="H21" s="77"/>
      <c r="I21" s="76"/>
      <c r="J21" s="76"/>
      <c r="K21" s="77"/>
      <c r="L21" s="76"/>
      <c r="M21" s="78"/>
      <c r="N21" s="77"/>
      <c r="O21" s="79"/>
    </row>
    <row r="22" spans="1:38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</row>
    <row r="23" spans="1:38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</row>
    <row r="24" spans="1:38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</row>
    <row r="25" spans="1:38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</row>
    <row r="26" spans="1:38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</row>
    <row r="27" spans="1:38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</row>
    <row r="28" spans="1:38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</row>
    <row r="29" spans="1:38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20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</row>
    <row r="30" spans="1:38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</row>
    <row r="31" spans="1:38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</row>
    <row r="32" spans="1:38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</row>
    <row r="33" spans="2:38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</row>
    <row r="34" spans="2:38" ht="23.25"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</row>
    <row r="35" spans="2:38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</row>
    <row r="36" spans="2:38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</row>
    <row r="37" spans="2:38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</row>
    <row r="38" spans="2:38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</row>
    <row r="39" spans="2:38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</row>
    <row r="40" spans="2:38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</row>
    <row r="41" spans="2:38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</row>
    <row r="42" spans="2:38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</row>
    <row r="43" spans="2:38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</row>
    <row r="44" spans="2:38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</row>
    <row r="45" spans="2:38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</row>
    <row r="46" spans="2:38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</row>
    <row r="47" spans="2:38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</row>
    <row r="48" spans="2:38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</row>
    <row r="49" spans="2:38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</row>
    <row r="50" spans="2:38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</row>
    <row r="51" spans="2:38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</row>
    <row r="52" spans="2:38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</row>
    <row r="53" spans="2:38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</row>
    <row r="54" spans="2:38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</row>
    <row r="55" spans="2:38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</row>
    <row r="56" spans="2:38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</row>
    <row r="57" spans="2:38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</row>
    <row r="58" spans="2:38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</row>
    <row r="59" spans="2:38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</row>
    <row r="60" spans="2:38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</row>
    <row r="61" spans="2:38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</row>
    <row r="62" spans="2:38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</row>
    <row r="63" spans="2:38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</row>
    <row r="64" spans="2:38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</row>
    <row r="65" spans="2:38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</row>
    <row r="66" spans="2:38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</row>
    <row r="67" spans="2:38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</row>
    <row r="68" spans="2:38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</row>
    <row r="69" spans="2:38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</row>
    <row r="70" spans="2:38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</row>
    <row r="71" spans="2:38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</row>
    <row r="72" spans="2:38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</row>
    <row r="73" spans="2:38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</row>
    <row r="74" spans="2:38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</row>
    <row r="75" spans="2:38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</row>
    <row r="76" spans="2:38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</row>
    <row r="77" spans="2:38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</row>
    <row r="78" spans="2:38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</row>
    <row r="79" spans="2:38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</row>
    <row r="80" spans="2:38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</row>
    <row r="81" spans="2:38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</row>
    <row r="82" spans="2:38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</row>
    <row r="83" spans="2:38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</row>
    <row r="84" spans="2:38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</row>
    <row r="85" spans="2:38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</row>
    <row r="86" spans="2:38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</row>
    <row r="87" spans="2:38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</row>
    <row r="88" spans="2:38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</row>
    <row r="89" spans="2:38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</row>
    <row r="90" spans="2:38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</row>
    <row r="91" spans="2:38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</row>
    <row r="92" spans="2:38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</row>
    <row r="93" spans="2:38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</row>
    <row r="94" spans="2:38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</row>
    <row r="95" spans="2:38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</row>
    <row r="96" spans="2:38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</row>
    <row r="97" spans="2:18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</row>
    <row r="98" spans="2:18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</row>
    <row r="99" spans="2:18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</row>
    <row r="100" spans="2:18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</row>
    <row r="101" spans="2:18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</row>
    <row r="102" spans="2:18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</row>
    <row r="103" spans="2:18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</row>
    <row r="104" spans="2:18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</row>
    <row r="105" spans="2:18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</row>
    <row r="106" spans="2:18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</row>
    <row r="107" spans="2:18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</row>
    <row r="108" spans="2:18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</row>
    <row r="109" spans="2:18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</row>
    <row r="110" spans="2:18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</row>
    <row r="111" spans="2:18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</row>
    <row r="112" spans="2:18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</row>
    <row r="113" spans="2:18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</row>
    <row r="114" spans="2:18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</row>
    <row r="115" spans="2:18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</row>
    <row r="116" spans="2:18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</row>
    <row r="117" spans="2:18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</row>
    <row r="118" spans="2:18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</row>
    <row r="119" spans="2:18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</row>
    <row r="120" spans="2:18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</row>
    <row r="121" spans="2:18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</row>
    <row r="122" spans="2:18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</row>
    <row r="123" spans="2:18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</row>
    <row r="124" spans="2:18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</row>
    <row r="125" spans="2:18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</row>
    <row r="126" spans="2:18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</row>
    <row r="127" spans="2:18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</row>
    <row r="128" spans="2:18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</row>
    <row r="129" spans="2:18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</row>
    <row r="130" spans="2:18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</row>
    <row r="131" spans="2:18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</row>
    <row r="132" spans="2:18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</row>
    <row r="133" spans="2:18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</row>
    <row r="134" spans="2:18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</row>
    <row r="135" spans="2:18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</row>
    <row r="136" spans="2:18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</row>
    <row r="137" spans="2:18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</row>
    <row r="138" spans="2:18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</row>
    <row r="139" spans="2:18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</row>
    <row r="140" spans="2:18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</row>
    <row r="141" spans="2:18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</row>
    <row r="142" spans="2:18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</row>
    <row r="143" spans="2:18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</row>
    <row r="144" spans="2:18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</row>
    <row r="145" spans="2:18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</row>
    <row r="146" spans="2:18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</row>
    <row r="147" spans="2:18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</row>
    <row r="148" spans="2:18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</row>
    <row r="149" spans="2:18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</row>
    <row r="150" spans="2:18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</row>
    <row r="151" spans="2:18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</row>
    <row r="152" spans="2:18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</row>
    <row r="153" spans="2:18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</row>
    <row r="154" spans="2:18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</row>
    <row r="155" spans="2:18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</row>
    <row r="156" spans="2:18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</row>
    <row r="157" spans="2:18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</row>
    <row r="158" spans="2:18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</row>
    <row r="159" spans="2:18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</row>
    <row r="160" spans="2:18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</row>
    <row r="161" spans="2:18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</row>
    <row r="162" spans="2:18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</row>
    <row r="163" spans="2:18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</row>
    <row r="164" spans="2:18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</row>
    <row r="165" spans="2:18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</row>
    <row r="166" spans="2:18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</row>
    <row r="167" spans="2:18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</row>
    <row r="168" spans="2:18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</row>
    <row r="169" spans="2:18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</row>
    <row r="170" spans="2:18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</row>
    <row r="171" spans="2:18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</row>
    <row r="172" spans="2:18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</row>
    <row r="173" spans="2:18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</row>
    <row r="174" spans="2:18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</row>
    <row r="175" spans="2:18"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</row>
    <row r="176" spans="2:18"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</row>
    <row r="177" spans="2:18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</row>
    <row r="178" spans="2:18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</row>
    <row r="179" spans="2:18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</row>
    <row r="180" spans="2:18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</row>
    <row r="181" spans="2:18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</row>
    <row r="182" spans="2:18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</row>
    <row r="183" spans="2:18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</row>
    <row r="184" spans="2:18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</row>
    <row r="185" spans="2:18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</row>
    <row r="186" spans="2:18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</row>
    <row r="187" spans="2:18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</row>
    <row r="188" spans="2:18"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</row>
    <row r="189" spans="2:18"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</row>
    <row r="190" spans="2:18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</row>
    <row r="191" spans="2:18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</row>
    <row r="192" spans="2:18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</row>
    <row r="193" spans="2:18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</row>
    <row r="194" spans="2:18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</row>
    <row r="195" spans="2:18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</row>
    <row r="196" spans="2:18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</row>
    <row r="197" spans="2:18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</row>
    <row r="198" spans="2:18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</row>
    <row r="199" spans="2:18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</row>
    <row r="200" spans="2:18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</row>
    <row r="201" spans="2:18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</row>
    <row r="202" spans="2:18"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</row>
    <row r="203" spans="2:18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</row>
    <row r="204" spans="2:18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</row>
    <row r="205" spans="2:18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</row>
    <row r="206" spans="2:18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</row>
    <row r="207" spans="2:18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</row>
    <row r="208" spans="2:18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</row>
    <row r="209" spans="2:18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</row>
    <row r="210" spans="2:18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</row>
    <row r="211" spans="2:18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</row>
    <row r="212" spans="2:18"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</row>
    <row r="213" spans="2:18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</row>
    <row r="214" spans="2:18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</row>
    <row r="215" spans="2:18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</row>
    <row r="216" spans="2:18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</row>
    <row r="217" spans="2:18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</row>
    <row r="218" spans="2:18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</row>
    <row r="219" spans="2:18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</row>
    <row r="220" spans="2:18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</row>
    <row r="221" spans="2:18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</row>
    <row r="222" spans="2:18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</row>
    <row r="223" spans="2:18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</row>
    <row r="224" spans="2:18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</row>
    <row r="225" spans="2:18"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</row>
    <row r="226" spans="2:18"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</row>
    <row r="227" spans="2:18"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</row>
    <row r="228" spans="2:18"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</row>
    <row r="229" spans="2:18"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</row>
    <row r="230" spans="2:18"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</row>
    <row r="231" spans="2:18"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</row>
    <row r="232" spans="2:18"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</row>
    <row r="233" spans="2:18"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</row>
    <row r="234" spans="2:18"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</row>
    <row r="235" spans="2:18"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</row>
    <row r="236" spans="2:18"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</row>
    <row r="237" spans="2:18"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</row>
    <row r="238" spans="2:18"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</row>
    <row r="239" spans="2:18"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</row>
    <row r="240" spans="2:18"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</row>
    <row r="241" spans="2:18"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</row>
    <row r="242" spans="2:18"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</row>
    <row r="243" spans="2:18"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</row>
    <row r="244" spans="2:18"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</row>
    <row r="245" spans="2:18"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</row>
    <row r="246" spans="2:18"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</row>
    <row r="247" spans="2:18"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</row>
    <row r="248" spans="2:18"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</row>
    <row r="249" spans="2:18"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</row>
    <row r="250" spans="2:18"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</row>
    <row r="251" spans="2:18"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</row>
    <row r="252" spans="2:18"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</row>
    <row r="253" spans="2:18"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</row>
    <row r="254" spans="2:18"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</row>
    <row r="255" spans="2:18"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</row>
    <row r="256" spans="2:18"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</row>
    <row r="257" spans="2:18"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</row>
    <row r="258" spans="2:18"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</row>
    <row r="259" spans="2:18"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</row>
    <row r="260" spans="2:18"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</row>
    <row r="261" spans="2:18"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</row>
    <row r="262" spans="2:18"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</row>
    <row r="263" spans="2:18"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</row>
    <row r="264" spans="2:18"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</row>
    <row r="265" spans="2:18"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</row>
    <row r="266" spans="2:18"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</row>
    <row r="267" spans="2:18"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</row>
    <row r="268" spans="2:18"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</row>
    <row r="269" spans="2:18"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</row>
    <row r="270" spans="2:18"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</row>
    <row r="271" spans="2:18"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</row>
    <row r="272" spans="2:18"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</row>
    <row r="273" spans="2:18"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</row>
    <row r="274" spans="2:18"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</row>
    <row r="275" spans="2:18"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</row>
    <row r="276" spans="2:18"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</row>
    <row r="277" spans="2:18"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</row>
    <row r="278" spans="2:18"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</row>
    <row r="279" spans="2:18"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</row>
    <row r="280" spans="2:18"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</row>
    <row r="281" spans="2:18"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</row>
    <row r="282" spans="2:18"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</row>
    <row r="283" spans="2:18"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</row>
    <row r="284" spans="2:18"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</row>
    <row r="285" spans="2:18"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</row>
    <row r="286" spans="2:18"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</row>
    <row r="287" spans="2:18"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</row>
    <row r="288" spans="2:18"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</row>
    <row r="289" spans="2:18"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</row>
    <row r="290" spans="2:18"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</row>
    <row r="291" spans="2:18"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</row>
    <row r="292" spans="2:18"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</row>
    <row r="293" spans="2:18"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</row>
    <row r="294" spans="2:18"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</row>
    <row r="295" spans="2:18"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</row>
    <row r="296" spans="2:18"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</row>
    <row r="297" spans="2:18"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</row>
    <row r="298" spans="2:18"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</row>
    <row r="299" spans="2:18"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</row>
    <row r="300" spans="2:18"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</row>
    <row r="301" spans="2:18"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</row>
    <row r="302" spans="2:18"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</row>
    <row r="303" spans="2:18"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</row>
    <row r="304" spans="2:18"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</row>
    <row r="305" spans="2:18"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</row>
    <row r="306" spans="2:18"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</row>
    <row r="307" spans="2:18"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</row>
    <row r="308" spans="2:18"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</row>
    <row r="309" spans="2:18"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</row>
    <row r="310" spans="2:18"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</row>
    <row r="311" spans="2:18"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</row>
    <row r="312" spans="2:18"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</row>
    <row r="313" spans="2:18"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</row>
    <row r="314" spans="2:18"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</row>
    <row r="315" spans="2:18"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</row>
    <row r="316" spans="2:18"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</row>
    <row r="317" spans="2:18"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</row>
    <row r="318" spans="2:18"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</row>
    <row r="319" spans="2:18"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</row>
    <row r="320" spans="2:18"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</row>
    <row r="321" spans="2:18"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</row>
    <row r="322" spans="2:18"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</row>
    <row r="323" spans="2:18"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</row>
    <row r="324" spans="2:18"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</row>
    <row r="325" spans="2:18"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</row>
    <row r="326" spans="2:18"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</row>
    <row r="327" spans="2:18"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</row>
    <row r="328" spans="2:18"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</row>
    <row r="329" spans="2:18"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</row>
    <row r="330" spans="2:18"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</row>
    <row r="331" spans="2:18"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</row>
    <row r="332" spans="2:18"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</row>
    <row r="333" spans="2:18"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</row>
    <row r="334" spans="2:18"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</row>
    <row r="335" spans="2:18"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</row>
    <row r="336" spans="2:18"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</row>
    <row r="337" spans="2:18"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</row>
    <row r="338" spans="2:18"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</row>
    <row r="339" spans="2:18"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</row>
    <row r="340" spans="2:18"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</row>
    <row r="341" spans="2:18"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</row>
    <row r="342" spans="2:18"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</row>
    <row r="343" spans="2:18"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</row>
    <row r="344" spans="2:18"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</row>
    <row r="345" spans="2:18"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</row>
    <row r="346" spans="2:18"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</row>
    <row r="347" spans="2:18"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</row>
    <row r="348" spans="2:18"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</row>
    <row r="349" spans="2:18"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</row>
    <row r="350" spans="2:18"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</row>
    <row r="351" spans="2:18"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</row>
    <row r="352" spans="2:18"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</row>
    <row r="353" spans="2:18"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</row>
    <row r="354" spans="2:18"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</row>
    <row r="355" spans="2:18"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</row>
    <row r="356" spans="2:18"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</row>
    <row r="357" spans="2:18"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</row>
    <row r="358" spans="2:18"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</row>
    <row r="359" spans="2:18"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</row>
    <row r="360" spans="2:18"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</row>
    <row r="361" spans="2:18"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</row>
    <row r="362" spans="2:18"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</row>
    <row r="363" spans="2:18"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</row>
    <row r="364" spans="2:18"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</row>
    <row r="365" spans="2:18"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</row>
    <row r="366" spans="2:18"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</row>
    <row r="367" spans="2:18"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</row>
    <row r="368" spans="2:18"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</row>
    <row r="369" spans="2:18"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</row>
    <row r="370" spans="2:18"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</row>
    <row r="371" spans="2:18"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</row>
    <row r="372" spans="2:18"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</row>
    <row r="373" spans="2:18"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</row>
    <row r="374" spans="2:18"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</row>
    <row r="375" spans="2:18"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</row>
    <row r="376" spans="2:18"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</row>
    <row r="377" spans="2:18"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</row>
    <row r="378" spans="2:18"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</row>
    <row r="379" spans="2:18"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</row>
    <row r="380" spans="2:18"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</row>
    <row r="381" spans="2:18"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</row>
    <row r="382" spans="2:18"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</row>
    <row r="383" spans="2:18"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</row>
    <row r="384" spans="2:18"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</row>
    <row r="385" spans="2:18"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</row>
    <row r="386" spans="2:18"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</row>
    <row r="387" spans="2:18"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</row>
    <row r="388" spans="2:18"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</row>
    <row r="389" spans="2:18"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</row>
    <row r="390" spans="2:18"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</row>
    <row r="391" spans="2:18"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</row>
    <row r="392" spans="2:18"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</row>
    <row r="393" spans="2:18"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</row>
    <row r="394" spans="2:18"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</row>
    <row r="395" spans="2:18"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</row>
    <row r="396" spans="2:18"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</row>
    <row r="397" spans="2:18"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</row>
    <row r="398" spans="2:18"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</row>
    <row r="399" spans="2:18"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</row>
    <row r="400" spans="2:18"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</row>
    <row r="401" spans="2:18"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</row>
    <row r="402" spans="2:18"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</row>
    <row r="403" spans="2:18"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</row>
    <row r="404" spans="2:18"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</row>
    <row r="405" spans="2:18"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</row>
    <row r="406" spans="2:18"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</row>
    <row r="407" spans="2:18"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</row>
    <row r="408" spans="2:18"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</row>
    <row r="409" spans="2:18"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</row>
    <row r="410" spans="2:18"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</row>
    <row r="411" spans="2:18"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</row>
    <row r="412" spans="2:18"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</row>
    <row r="413" spans="2:18"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</row>
    <row r="414" spans="2:18"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</row>
    <row r="415" spans="2:18"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</row>
    <row r="416" spans="2:18"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</row>
    <row r="417" spans="2:18"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</row>
    <row r="418" spans="2:18"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</row>
    <row r="419" spans="2:18"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</row>
    <row r="420" spans="2:18"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</row>
    <row r="421" spans="2:18"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</row>
    <row r="422" spans="2:18"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</row>
    <row r="423" spans="2:18"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</row>
    <row r="424" spans="2:18"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</row>
    <row r="425" spans="2:18"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</row>
    <row r="426" spans="2:18"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</row>
    <row r="427" spans="2:18"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</row>
  </sheetData>
  <mergeCells count="3">
    <mergeCell ref="K7:K8"/>
    <mergeCell ref="B19:C19"/>
    <mergeCell ref="B34:O34"/>
  </mergeCells>
  <conditionalFormatting sqref="O10:O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:O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Reporting</vt:lpstr>
      <vt:lpstr>Task list</vt:lpstr>
      <vt:lpstr>Project Tracker </vt:lpstr>
      <vt:lpstr>Project 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CraigB</dc:creator>
  <cp:lastModifiedBy>Chengetai Myezwa</cp:lastModifiedBy>
  <dcterms:created xsi:type="dcterms:W3CDTF">2018-04-09T21:25:00Z</dcterms:created>
  <dcterms:modified xsi:type="dcterms:W3CDTF">2021-08-12T08:11:06Z</dcterms:modified>
</cp:coreProperties>
</file>